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20730" windowHeight="11760" firstSheet="2" activeTab="7"/>
  </bookViews>
  <sheets>
    <sheet name="Sum" sheetId="9" r:id="rId1"/>
    <sheet name="Average" sheetId="10" r:id="rId2"/>
    <sheet name="Count" sheetId="11" r:id="rId3"/>
    <sheet name="CountA" sheetId="12" r:id="rId4"/>
    <sheet name="Max" sheetId="13" r:id="rId5"/>
    <sheet name="Min" sheetId="14" r:id="rId6"/>
    <sheet name="IF" sheetId="18" r:id="rId7"/>
    <sheet name="CONCAT &amp; TEXTJOIN" sheetId="43" r:id="rId8"/>
    <sheet name="UPPER, LOWER &amp; PROPER" sheetId="44" r:id="rId9"/>
    <sheet name="LEFT, RIGHT &amp; MID" sheetId="45" r:id="rId10"/>
    <sheet name="Substitute and Replace" sheetId="46" state="hidden" r:id="rId11"/>
    <sheet name="Date Formulas" sheetId="47" state="hidden" r:id="rId12"/>
  </sheets>
  <definedNames>
    <definedName name="_xlnm._FilterDatabase" localSheetId="0" hidden="1">Sum!$F$7:$H$15</definedName>
    <definedName name="Z_06F040C9_291C_44DD_A11A_B2BAF2078CA1_.wvu.FilterData" localSheetId="0" hidden="1">Sum!$F$7:$H$15</definedName>
    <definedName name="Z_28C5C254_2672_4A7F_9398_2FA6F99EE3FF_.wvu.FilterData" localSheetId="0" hidden="1">Sum!$F$7:$H$15</definedName>
    <definedName name="Z_31F90F3E_FB31_437F_ADCE_44D58804C41D_.wvu.FilterData" localSheetId="0" hidden="1">Sum!$F$7:$H$15</definedName>
    <definedName name="Z_4725FB26_BADE_478E_8CB6_C0172942A9EE_.wvu.FilterData" localSheetId="0" hidden="1">Sum!$F$7:$H$15</definedName>
    <definedName name="Z_57F7A421_8FD3_4470_813D_526D207C0AED_.wvu.FilterData" localSheetId="0" hidden="1">Sum!$F$7:$H$15</definedName>
    <definedName name="Z_5B82F60B_B869_45D3_9A7D_2B843E789197_.wvu.FilterData" localSheetId="0" hidden="1">Sum!$F$7:$H$15</definedName>
    <definedName name="Z_73745901_4C3A_49DD_83C4_0AEBB167DB63_.wvu.FilterData" localSheetId="0" hidden="1">Sum!$F$7:$H$15</definedName>
    <definedName name="Z_8DC39A41_9961_4A5C_8659_B8A82A01A470_.wvu.FilterData" localSheetId="0" hidden="1">Sum!$F$7:$H$15</definedName>
    <definedName name="Z_9967D63C_4135_4BF7_A83B_0EC0A28A8504_.wvu.FilterData" localSheetId="0" hidden="1">Sum!$F$7:$H$15</definedName>
    <definedName name="Z_A979108F_FF23_4967_8663_1A0C9618D854_.wvu.FilterData" localSheetId="0" hidden="1">Sum!$F$7:$H$15</definedName>
    <definedName name="Z_AC1AC0BB_7D81_4427_80BF_DB36D3CC12C1_.wvu.FilterData" localSheetId="0" hidden="1">Sum!$F$7:$H$15</definedName>
    <definedName name="Z_AD9596A8_734D_48AD_8922_A58933E39AB8_.wvu.FilterData" localSheetId="0" hidden="1">Sum!$F$7:$H$15</definedName>
    <definedName name="Z_AE37E6D9_7485_4A75_9115_FDBD1A6E08D0_.wvu.FilterData" localSheetId="0" hidden="1">Sum!$F$7:$H$15</definedName>
    <definedName name="Z_DFB07116_697D_42FF_ACBD_E8FE92938B16_.wvu.FilterData" localSheetId="0" hidden="1">Sum!$F$7:$H$15</definedName>
    <definedName name="Z_E065FC95_9F37_4AD0_A6AF_202A080459EB_.wvu.FilterData" localSheetId="0" hidden="1">Sum!$F$7:$H$15</definedName>
  </definedNames>
  <calcPr calcId="144525"/>
  <customWorkbookViews>
    <customWorkbookView name="min" guid="{4725FB26-BADE-478E-8CB6-C0172942A9EE}" maximized="1" xWindow="-8" yWindow="-8" windowWidth="1382" windowHeight="784" activeSheetId="14"/>
    <customWorkbookView name="max" guid="{5B82F60B-B869-45D3-9A7D-2B843E789197}" maximized="1" xWindow="-8" yWindow="-8" windowWidth="1382" windowHeight="784" activeSheetId="13"/>
    <customWorkbookView name="counta" guid="{73745901-4C3A-49DD-83C4-0AEBB167DB63}" maximized="1" xWindow="-8" yWindow="-8" windowWidth="1382" windowHeight="784" activeSheetId="12"/>
    <customWorkbookView name="count" guid="{AE37E6D9-7485-4A75-9115-FDBD1A6E08D0}" maximized="1" xWindow="-8" yWindow="-8" windowWidth="1382" windowHeight="784" activeSheetId="11"/>
    <customWorkbookView name="average" guid="{28C5C254-2672-4A7F-9398-2FA6F99EE3FF}" maximized="1" xWindow="-8" yWindow="-8" windowWidth="1382" windowHeight="784" activeSheetId="10"/>
    <customWorkbookView name="sum" guid="{9967D63C-4135-4BF7-A83B-0EC0A28A8504}" maximized="1" xWindow="-8" yWindow="-8" windowWidth="1382" windowHeight="784" activeSheetId="9"/>
    <customWorkbookView name="mid" guid="{8DC39A41-9961-4A5C-8659-B8A82A01A470}" maximized="1" xWindow="-8" yWindow="-8" windowWidth="1382" windowHeight="784" activeSheetId="45"/>
    <customWorkbookView name="right" guid="{06F040C9-291C-44DD-A11A-B2BAF2078CA1}" maximized="1" xWindow="-8" yWindow="-8" windowWidth="1382" windowHeight="784" activeSheetId="45"/>
    <customWorkbookView name="left" guid="{AC1AC0BB-7D81-4427-80BF-DB36D3CC12C1}" maximized="1" xWindow="-8" yWindow="-8" windowWidth="1382" windowHeight="784" activeSheetId="45"/>
    <customWorkbookView name="proper" guid="{31F90F3E-FB31-437F-ADCE-44D58804C41D}" maximized="1" xWindow="-8" yWindow="-8" windowWidth="1382" windowHeight="784" activeSheetId="44"/>
    <customWorkbookView name="lower" guid="{57F7A421-8FD3-4470-813D-526D207C0AED}" maximized="1" xWindow="-8" yWindow="-8" windowWidth="1382" windowHeight="784" activeSheetId="44"/>
    <customWorkbookView name="upper" guid="{E065FC95-9F37-4AD0-A6AF-202A080459EB}" maximized="1" xWindow="-8" yWindow="-8" windowWidth="1382" windowHeight="784" activeSheetId="44"/>
    <customWorkbookView name="textjoin" guid="{A979108F-FF23-4967-8663-1A0C9618D854}" maximized="1" xWindow="-8" yWindow="-8" windowWidth="1382" windowHeight="784" activeSheetId="43"/>
    <customWorkbookView name="concat" guid="{AD9596A8-734D-48AD-8922-A58933E39AB8}" maximized="1" xWindow="-8" yWindow="-8" windowWidth="1382" windowHeight="784" activeSheetId="43"/>
    <customWorkbookView name="hardconcat" guid="{DFB07116-697D-42FF-ACBD-E8FE92938B16}" maximized="1" xWindow="-8" yWindow="-8" windowWidth="1382" windowHeight="784" activeSheetId="43"/>
    <customWorkbookView name="mround" guid="{2032DE14-E33D-44B5-9022-A2B48F059704}" maximized="1" xWindow="-8" yWindow="-8" windowWidth="1382" windowHeight="784" activeSheetId="40"/>
    <customWorkbookView name="rounddown" guid="{EE4A95A5-BF42-4BAA-B9EB-84A9230A28F9}" maximized="1" xWindow="-8" yWindow="-8" windowWidth="1382" windowHeight="784" activeSheetId="40"/>
    <customWorkbookView name="roundup" guid="{8BEA0E04-8B9A-4A2D-9B80-4E7685E22D5E}" maximized="1" xWindow="-8" yWindow="-8" windowWidth="1382" windowHeight="784" activeSheetId="40"/>
    <customWorkbookView name="ceiling" guid="{0125BE01-BBC8-4E5A-9A9A-3D1257916B8C}" maximized="1" xWindow="-8" yWindow="-8" windowWidth="1382" windowHeight="784" activeSheetId="35"/>
    <customWorkbookView name="floor" guid="{7A9AB605-DB82-470C-B86B-95E2AB3523F6}" maximized="1" xWindow="-8" yWindow="-8" windowWidth="1382" windowHeight="784" activeSheetId="35"/>
    <customWorkbookView name="minifs8" guid="{FC8D231F-57F9-45EE-9DEF-D7ED111600EB}" maximized="1" xWindow="-8" yWindow="-8" windowWidth="1382" windowHeight="784" activeSheetId="34"/>
    <customWorkbookView name="minifs7" guid="{395DC3D6-3299-4A43-88E2-62703FCC0349}" maximized="1" xWindow="-8" yWindow="-8" windowWidth="1382" windowHeight="784" activeSheetId="34"/>
    <customWorkbookView name="minifs6" guid="{5C8F4C13-387F-42D2-8CB5-92C4886D7919}" maximized="1" xWindow="-8" yWindow="-8" windowWidth="1382" windowHeight="784" activeSheetId="34"/>
    <customWorkbookView name="minifs5" guid="{8A25BF65-C908-4B2F-9805-3CD39BD4330E}" maximized="1" xWindow="-8" yWindow="-8" windowWidth="1382" windowHeight="784" activeSheetId="34"/>
    <customWorkbookView name="minifs4" guid="{F9A03991-7A83-41AE-B603-3D22265CDA22}" maximized="1" xWindow="-8" yWindow="-8" windowWidth="1382" windowHeight="784" activeSheetId="34"/>
    <customWorkbookView name="minifs3" guid="{FEB5A49F-F7F7-412A-BE72-F90F7A4799C8}" maximized="1" xWindow="-8" yWindow="-8" windowWidth="1382" windowHeight="784" activeSheetId="34"/>
    <customWorkbookView name="minifs2" guid="{F518ECB9-5D92-41E0-BFD2-C5175A02444D}" maximized="1" xWindow="-8" yWindow="-8" windowWidth="1382" windowHeight="784" activeSheetId="34"/>
    <customWorkbookView name="minifs1" guid="{BCAB4838-A37A-4BCF-A9C9-CC50C95F58C7}" maximized="1" xWindow="-8" yWindow="-8" windowWidth="1382" windowHeight="784" activeSheetId="34"/>
    <customWorkbookView name="maxifs8" guid="{C4FE72FA-CBE8-407E-8EC2-C280F8FC5007}" maximized="1" xWindow="-8" yWindow="-8" windowWidth="1382" windowHeight="784" activeSheetId="33"/>
    <customWorkbookView name="maxifs7" guid="{38FB2C7A-5CFF-4CFC-8EEB-670D05614592}" maximized="1" xWindow="-8" yWindow="-8" windowWidth="1382" windowHeight="784" activeSheetId="33"/>
    <customWorkbookView name="maxifs6" guid="{40292D04-273C-4BA2-8BEC-F145CB80DE09}" maximized="1" xWindow="-8" yWindow="-8" windowWidth="1382" windowHeight="784" activeSheetId="33"/>
    <customWorkbookView name="maxifs5" guid="{3803F984-A279-41F1-A517-160B18D90A7B}" maximized="1" xWindow="-8" yWindow="-8" windowWidth="1382" windowHeight="784" activeSheetId="33"/>
    <customWorkbookView name="maxifs4" guid="{66733AAA-1B52-4C53-8317-97DE8A748E25}" maximized="1" xWindow="-8" yWindow="-8" windowWidth="1382" windowHeight="784" activeSheetId="33"/>
    <customWorkbookView name="maxifs3" guid="{7FCE83C1-0279-4E15-8ADF-7AE60DC9131C}" maximized="1" xWindow="-8" yWindow="-8" windowWidth="1382" windowHeight="784" activeSheetId="33"/>
    <customWorkbookView name="maxifs2" guid="{F92D650A-7143-46D6-8CDA-595FA977193F}" maximized="1" xWindow="-8" yWindow="-8" windowWidth="1382" windowHeight="784" activeSheetId="33"/>
    <customWorkbookView name="maxifs1" guid="{C2D3B09E-3326-4084-AD7A-C8013F4130D6}" maximized="1" xWindow="-8" yWindow="-8" windowWidth="1382" windowHeight="784" activeSheetId="33"/>
    <customWorkbookView name="countifs8" guid="{E1A67331-473F-4161-806C-BE35870C93B5}" maximized="1" xWindow="-8" yWindow="-8" windowWidth="1382" windowHeight="784" activeSheetId="31"/>
    <customWorkbookView name="countifs7" guid="{CC562453-1E6B-4010-9E1B-775397A26EFA}" maximized="1" xWindow="-8" yWindow="-8" windowWidth="1382" windowHeight="784" activeSheetId="31"/>
    <customWorkbookView name="countifs6" guid="{644A6A80-0D34-48F6-A071-17016DCD2D6E}" maximized="1" xWindow="-8" yWindow="-8" windowWidth="1382" windowHeight="784" activeSheetId="31"/>
    <customWorkbookView name="countifs5" guid="{C65059E8-30E8-488B-A0E9-1B7961920C81}" maximized="1" xWindow="-8" yWindow="-8" windowWidth="1382" windowHeight="784" activeSheetId="31"/>
    <customWorkbookView name="countifs4" guid="{95D39BA8-2B16-4954-ABAC-09AD33A86339}" maximized="1" xWindow="-8" yWindow="-8" windowWidth="1382" windowHeight="784" activeSheetId="31"/>
    <customWorkbookView name="countifs3" guid="{25A4A7C0-9593-456C-861C-76D101D3FE93}" maximized="1" xWindow="-8" yWindow="-8" windowWidth="1382" windowHeight="784" activeSheetId="31"/>
    <customWorkbookView name="countifs2" guid="{51BA8A3D-4711-49ED-89E2-EBC09DF2AEDC}" maximized="1" xWindow="-8" yWindow="-8" windowWidth="1382" windowHeight="784" activeSheetId="31"/>
    <customWorkbookView name="countifs1" guid="{629A478C-29B1-4F25-A016-63CE32A1627F}" maximized="1" xWindow="-8" yWindow="-8" windowWidth="1382" windowHeight="784" activeSheetId="31"/>
    <customWorkbookView name="averageifs8" guid="{F789A6E6-3D06-4D93-BF02-46FA1A2548B2}" maximized="1" xWindow="-8" yWindow="-8" windowWidth="1382" windowHeight="784" activeSheetId="32"/>
    <customWorkbookView name="averageifs7" guid="{15D7A002-B247-4A6B-A16B-61BDD9B0066A}" maximized="1" xWindow="-8" yWindow="-8" windowWidth="1382" windowHeight="784" activeSheetId="32"/>
    <customWorkbookView name="averageifs6" guid="{9AFCAA87-4888-4976-A7C9-C06A34CB6C97}" maximized="1" xWindow="-8" yWindow="-8" windowWidth="1382" windowHeight="784" activeSheetId="32"/>
    <customWorkbookView name="averageifs5" guid="{E4FF7DB9-14DF-49DB-9F59-1898DDED4DCE}" maximized="1" xWindow="-8" yWindow="-8" windowWidth="1382" windowHeight="784" activeSheetId="32"/>
    <customWorkbookView name="averageifs4" guid="{EC7537C6-1678-41C1-B788-EF4AFFECF769}" maximized="1" xWindow="-8" yWindow="-8" windowWidth="1382" windowHeight="784" activeSheetId="32"/>
    <customWorkbookView name="averageifs3" guid="{1920E7A3-1C9F-4320-81BB-D11544051025}" maximized="1" xWindow="-8" yWindow="-8" windowWidth="1382" windowHeight="784" activeSheetId="32"/>
    <customWorkbookView name="averageifs2" guid="{02D27969-4CD1-473E-A0E8-856AB0664DE8}" maximized="1" xWindow="-8" yWindow="-8" windowWidth="1382" windowHeight="784" activeSheetId="32"/>
    <customWorkbookView name="averageifs1" guid="{422703F6-63C4-435C-AFE7-1030286678F6}" maximized="1" xWindow="-8" yWindow="-8" windowWidth="1382" windowHeight="784" activeSheetId="32"/>
    <customWorkbookView name="sumifs8" guid="{F3CB97AD-592C-4B6E-8AE3-1CD47479060C}" maximized="1" xWindow="-8" yWindow="-8" windowWidth="1382" windowHeight="784" activeSheetId="25"/>
    <customWorkbookView name="sumifs7" guid="{19DA6E7F-8950-4769-9BBE-2798EFA465A3}" maximized="1" xWindow="-8" yWindow="-8" windowWidth="1382" windowHeight="784" activeSheetId="25"/>
    <customWorkbookView name="sumifs6" guid="{47C01131-7443-4080-A2BB-6B6AA35C6913}" maximized="1" xWindow="-8" yWindow="-8" windowWidth="1382" windowHeight="784" activeSheetId="25"/>
    <customWorkbookView name="sumifs5" guid="{C7330417-67A9-44CF-917F-5F5E2F191AD4}" maximized="1" xWindow="-8" yWindow="-8" windowWidth="1382" windowHeight="784" activeSheetId="25"/>
    <customWorkbookView name="sumifs4" guid="{EBA5E9C4-A2DB-4DF0-BF75-1243E968318E}" maximized="1" xWindow="-8" yWindow="-8" windowWidth="1382" windowHeight="784" activeSheetId="25"/>
    <customWorkbookView name="sumifs3" guid="{7A7FC9A5-F2B5-4894-82BC-4528575F10D4}" maximized="1" xWindow="-8" yWindow="-8" windowWidth="1382" windowHeight="784" activeSheetId="25"/>
    <customWorkbookView name="sumifs2" guid="{6194C141-D0A1-4D58-BA55-90A184525AC3}" maximized="1" xWindow="-8" yWindow="-8" windowWidth="1382" windowHeight="784" activeSheetId="25"/>
    <customWorkbookView name="sumifs1" guid="{A5292A6B-6F92-4AB3-B051-EF87F39FC489}" maximized="1" xWindow="-8" yWindow="-8" windowWidth="1382" windowHeight="784" activeSheetId="25"/>
    <customWorkbookView name="sumif1" guid="{C090DFAD-A23A-4678-87F2-095D84EBDDE8}" maximized="1" xWindow="-8" yWindow="-8" windowWidth="1382" windowHeight="744" activeSheetId="15"/>
    <customWorkbookView name="sumif2" guid="{4F11E31F-E14C-416D-BB97-C8CE74658FBE}" maximized="1" xWindow="-8" yWindow="-8" windowWidth="1382" windowHeight="744" activeSheetId="15"/>
    <customWorkbookView name="sumif3" guid="{F2A17A28-A3DF-492D-BAE9-AAEF2A13397B}" maximized="1" xWindow="-8" yWindow="-8" windowWidth="1382" windowHeight="744" activeSheetId="15"/>
    <customWorkbookView name="sumif4" guid="{8F332A92-7271-4FEC-B085-C15AA232FE21}" maximized="1" xWindow="-8" yWindow="-8" windowWidth="1382" windowHeight="744" activeSheetId="15"/>
    <customWorkbookView name="sumif5" guid="{6B1EB7F4-EF59-450E-A531-475C3A6E6150}" maximized="1" xWindow="-8" yWindow="-8" windowWidth="1382" windowHeight="744" activeSheetId="15"/>
    <customWorkbookView name="sumif6" guid="{8EBF087E-11C5-42EE-B564-FAEE72C86C17}" maximized="1" xWindow="-8" yWindow="-8" windowWidth="1382" windowHeight="744" activeSheetId="15"/>
    <customWorkbookView name="averageif1" guid="{F716839F-5448-40FC-95BC-286199FD6764}" maximized="1" xWindow="-8" yWindow="-8" windowWidth="1382" windowHeight="744" activeSheetId="23"/>
    <customWorkbookView name="averageif2" guid="{E712F22D-DF79-4936-B86B-186E637372BF}" maximized="1" xWindow="-8" yWindow="-8" windowWidth="1382" windowHeight="744" activeSheetId="23"/>
    <customWorkbookView name="averageif3" guid="{672B3D91-11D6-418C-A856-9FF74CE5E6FB}" maximized="1" xWindow="-8" yWindow="-8" windowWidth="1382" windowHeight="744" activeSheetId="23"/>
    <customWorkbookView name="averageif4" guid="{5B4753E1-B7DC-40C2-A28F-B07A6CB075FE}" maximized="1" xWindow="-8" yWindow="-8" windowWidth="1382" windowHeight="744" activeSheetId="23"/>
    <customWorkbookView name="averageif5" guid="{EF2006E2-DE9B-4938-AD6F-8255BE7D529F}" maximized="1" xWindow="-8" yWindow="-8" windowWidth="1382" windowHeight="744" activeSheetId="23"/>
    <customWorkbookView name="averageif6" guid="{0BFB30CE-F6D9-44B3-99BA-62858BF46600}" maximized="1" xWindow="-8" yWindow="-8" windowWidth="1382" windowHeight="744" activeSheetId="23"/>
    <customWorkbookView name="countif1" guid="{E3977DAC-58A9-43A5-A2CD-037AE84A3934}" maximized="1" xWindow="-8" yWindow="-8" windowWidth="1382" windowHeight="744" activeSheetId="24"/>
    <customWorkbookView name="countif2" guid="{E18774DE-EF27-4708-91D7-FE2A7EE4C992}" maximized="1" xWindow="-8" yWindow="-8" windowWidth="1382" windowHeight="744" activeSheetId="24"/>
    <customWorkbookView name="countif3" guid="{F102CDDA-1DB7-4BD5-8A8F-CD5640485596}" maximized="1" xWindow="-8" yWindow="-8" windowWidth="1382" windowHeight="744" activeSheetId="24"/>
    <customWorkbookView name="countif4" guid="{A3C7F73E-8288-4122-801A-9A426BB0DFB8}" maximized="1" xWindow="-8" yWindow="-8" windowWidth="1382" windowHeight="744" activeSheetId="24"/>
    <customWorkbookView name="countif5" guid="{C1FEC2CE-0AE0-4F12-8438-BD3D230D3830}" maximized="1" xWindow="-8" yWindow="-8" windowWidth="1382" windowHeight="744" activeSheetId="24"/>
    <customWorkbookView name="countif6" guid="{576A445C-3D9A-438D-AC68-B679E3D65634}" maximized="1" xWindow="-8" yWindow="-8" windowWidth="1382" windowHeight="744" activeSheetId="24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1" i="43" l="1"/>
  <c r="F22" i="43"/>
  <c r="F23" i="43"/>
  <c r="F24" i="43"/>
  <c r="F25" i="43"/>
  <c r="F26" i="43"/>
  <c r="F27" i="43"/>
  <c r="F28" i="43"/>
  <c r="F20" i="43"/>
  <c r="F6" i="43"/>
  <c r="F7" i="43"/>
  <c r="F8" i="43"/>
  <c r="F9" i="43"/>
  <c r="F10" i="43"/>
  <c r="F11" i="43"/>
  <c r="F12" i="43"/>
  <c r="F13" i="43"/>
  <c r="F5" i="43"/>
  <c r="F36" i="44"/>
  <c r="F37" i="44"/>
  <c r="F38" i="44"/>
  <c r="F39" i="44"/>
  <c r="F40" i="44"/>
  <c r="F41" i="44"/>
  <c r="F42" i="44"/>
  <c r="F43" i="44"/>
  <c r="F35" i="44"/>
  <c r="F21" i="44"/>
  <c r="F22" i="44"/>
  <c r="F23" i="44"/>
  <c r="F24" i="44"/>
  <c r="F25" i="44"/>
  <c r="F26" i="44"/>
  <c r="F27" i="44"/>
  <c r="F28" i="44"/>
  <c r="F20" i="44"/>
  <c r="F6" i="44"/>
  <c r="F7" i="44"/>
  <c r="F8" i="44"/>
  <c r="F9" i="44"/>
  <c r="F10" i="44"/>
  <c r="F11" i="44"/>
  <c r="F12" i="44"/>
  <c r="F13" i="44"/>
  <c r="F5" i="44"/>
  <c r="F36" i="45"/>
  <c r="F37" i="45"/>
  <c r="F38" i="45"/>
  <c r="F39" i="45"/>
  <c r="F40" i="45"/>
  <c r="F41" i="45"/>
  <c r="F42" i="45"/>
  <c r="F43" i="45"/>
  <c r="F35" i="45"/>
  <c r="F21" i="45"/>
  <c r="F22" i="45"/>
  <c r="F23" i="45"/>
  <c r="F24" i="45"/>
  <c r="F25" i="45"/>
  <c r="F26" i="45"/>
  <c r="F27" i="45"/>
  <c r="F28" i="45"/>
  <c r="F20" i="45"/>
  <c r="F6" i="45"/>
  <c r="F7" i="45"/>
  <c r="F8" i="45"/>
  <c r="F9" i="45"/>
  <c r="F10" i="45"/>
  <c r="F11" i="45"/>
  <c r="F12" i="45"/>
  <c r="F13" i="45"/>
  <c r="F5" i="45"/>
  <c r="F35" i="43"/>
  <c r="L17" i="13" l="1"/>
  <c r="H17" i="13"/>
  <c r="D17" i="13"/>
  <c r="L16" i="14"/>
  <c r="H16" i="14"/>
  <c r="D16" i="14"/>
  <c r="G6" i="47" l="1"/>
  <c r="G7" i="47"/>
  <c r="G8" i="47"/>
  <c r="G9" i="47"/>
  <c r="G10" i="47"/>
  <c r="G11" i="47"/>
  <c r="G12" i="47"/>
  <c r="G13" i="47"/>
  <c r="G5" i="47"/>
  <c r="I14" i="46"/>
  <c r="F30" i="18"/>
  <c r="F29" i="18"/>
  <c r="F28" i="18"/>
  <c r="F27" i="18"/>
  <c r="F26" i="18"/>
  <c r="F25" i="18"/>
  <c r="F8" i="18"/>
  <c r="F9" i="18"/>
  <c r="F10" i="18"/>
  <c r="F11" i="18"/>
  <c r="F12" i="18"/>
  <c r="F7" i="18"/>
  <c r="G47" i="18" l="1"/>
  <c r="G46" i="18"/>
  <c r="G45" i="18"/>
  <c r="G44" i="18"/>
  <c r="G43" i="18"/>
  <c r="G42" i="18"/>
  <c r="L17" i="14"/>
  <c r="H17" i="14"/>
  <c r="L18" i="13"/>
  <c r="H18" i="13"/>
  <c r="D18" i="13"/>
  <c r="D17" i="14"/>
  <c r="L17" i="11"/>
  <c r="H17" i="11"/>
  <c r="D17" i="12"/>
  <c r="H17" i="12"/>
  <c r="L17" i="12"/>
  <c r="D17" i="11"/>
  <c r="L17" i="10"/>
  <c r="H17" i="10"/>
  <c r="D17" i="10"/>
  <c r="E12" i="14"/>
  <c r="E11" i="14"/>
  <c r="E10" i="14"/>
  <c r="E9" i="14"/>
  <c r="E8" i="14"/>
  <c r="E7" i="14"/>
  <c r="E13" i="13"/>
  <c r="E12" i="13"/>
  <c r="E11" i="13"/>
  <c r="E10" i="13"/>
  <c r="E9" i="13"/>
  <c r="E8" i="13"/>
  <c r="E12" i="12"/>
  <c r="E11" i="12"/>
  <c r="E10" i="12"/>
  <c r="E9" i="12"/>
  <c r="E8" i="12"/>
  <c r="E7" i="12"/>
  <c r="E12" i="11"/>
  <c r="E11" i="11"/>
  <c r="E10" i="11"/>
  <c r="E9" i="11"/>
  <c r="E8" i="11"/>
  <c r="E7" i="11"/>
  <c r="E12" i="10"/>
  <c r="E11" i="10"/>
  <c r="E10" i="10"/>
  <c r="E9" i="10"/>
  <c r="E8" i="10"/>
  <c r="E7" i="10"/>
  <c r="L18" i="9"/>
  <c r="H18" i="9"/>
  <c r="D18" i="9"/>
  <c r="E13" i="9"/>
  <c r="E12" i="9"/>
  <c r="E11" i="9"/>
  <c r="E10" i="9"/>
  <c r="E9" i="9"/>
  <c r="E8" i="9"/>
</calcChain>
</file>

<file path=xl/sharedStrings.xml><?xml version="1.0" encoding="utf-8"?>
<sst xmlns="http://schemas.openxmlformats.org/spreadsheetml/2006/main" count="922" uniqueCount="102">
  <si>
    <t>Card</t>
  </si>
  <si>
    <t>Google</t>
  </si>
  <si>
    <t>Banana</t>
  </si>
  <si>
    <t>DoorDash</t>
  </si>
  <si>
    <t>Grapes</t>
  </si>
  <si>
    <t>Cash</t>
  </si>
  <si>
    <t>Lyft</t>
  </si>
  <si>
    <t>Pineapple</t>
  </si>
  <si>
    <t>Walmart</t>
  </si>
  <si>
    <t>Kiwi</t>
  </si>
  <si>
    <t>BigBasket</t>
  </si>
  <si>
    <t>Orange</t>
  </si>
  <si>
    <t>Amazon</t>
  </si>
  <si>
    <t>Apple</t>
  </si>
  <si>
    <t>Paid by</t>
  </si>
  <si>
    <t>Vendor</t>
  </si>
  <si>
    <t>Price</t>
  </si>
  <si>
    <t>Fruit Name</t>
  </si>
  <si>
    <t>Validate</t>
  </si>
  <si>
    <t>January</t>
  </si>
  <si>
    <t>February</t>
  </si>
  <si>
    <t>March</t>
  </si>
  <si>
    <t>Overall Sum of Prices of all Months</t>
  </si>
  <si>
    <t>Overall Sum of Prices of Apples of Jan month</t>
  </si>
  <si>
    <t>Overall Price of Kiwi across months</t>
  </si>
  <si>
    <t>Average Purchase Prices for all Months</t>
  </si>
  <si>
    <t>Average Purchase Price for Apples of Jan month</t>
  </si>
  <si>
    <t>Average Purchase Price of Kiwi across months</t>
  </si>
  <si>
    <t>How many overall transactions were made</t>
  </si>
  <si>
    <t>How Many times Pineapple's were bought all throughout</t>
  </si>
  <si>
    <t>No of times the vendor was "Amazon"</t>
  </si>
  <si>
    <t>How many transactions were made for February</t>
  </si>
  <si>
    <t>How many transactions were made for Feb &amp; March Combined</t>
  </si>
  <si>
    <t>Of all the months what is the maximum purchase price</t>
  </si>
  <si>
    <t>Of all the months what is the minimum purchase price</t>
  </si>
  <si>
    <t>Maximum amount spent for March &amp; Feb combined</t>
  </si>
  <si>
    <t>Maximum amount spent on Amazon purchases</t>
  </si>
  <si>
    <t>How many overall fruits were purchased</t>
  </si>
  <si>
    <t>Minimum amount spent for March &amp; Feb combined</t>
  </si>
  <si>
    <t>Minimum amount spent on Amazon purchases</t>
  </si>
  <si>
    <t>Shirt</t>
  </si>
  <si>
    <t>Pants</t>
  </si>
  <si>
    <t>S</t>
  </si>
  <si>
    <t>M</t>
  </si>
  <si>
    <t>L</t>
  </si>
  <si>
    <t>Dress Size</t>
  </si>
  <si>
    <t>Dress Type</t>
  </si>
  <si>
    <t>Brand</t>
  </si>
  <si>
    <t>Louis Vuitton</t>
  </si>
  <si>
    <t>Chanel</t>
  </si>
  <si>
    <t>H&amp;M</t>
  </si>
  <si>
    <t>Burberry</t>
  </si>
  <si>
    <t>Ralph Lauren</t>
  </si>
  <si>
    <t>Omega</t>
  </si>
  <si>
    <t>Levi's</t>
  </si>
  <si>
    <t>Michael Kors</t>
  </si>
  <si>
    <t>Under Armour</t>
  </si>
  <si>
    <t>Extracted Brand Name</t>
  </si>
  <si>
    <t>Attach all three Dress Type, Size and Brand into one sentence with an " - " in between</t>
  </si>
  <si>
    <t>MICHAEL KORS</t>
  </si>
  <si>
    <t>UNDER ARMOUR</t>
  </si>
  <si>
    <t>OMEGA</t>
  </si>
  <si>
    <t>LEVI'S</t>
  </si>
  <si>
    <t>RALPH LAUREN</t>
  </si>
  <si>
    <t>Make the Brand grammatically correct</t>
  </si>
  <si>
    <t>CHANEL</t>
  </si>
  <si>
    <t>BURBERRY</t>
  </si>
  <si>
    <t>LOUIS VUITTON</t>
  </si>
  <si>
    <t>De-Capitalise the brand name in full</t>
  </si>
  <si>
    <t>Capitalise the brand name in full</t>
  </si>
  <si>
    <t>Extract 3 Digits of the Brand Names after the 3rd Character of its name</t>
  </si>
  <si>
    <t>Extract the Last 3 Digits of the Brand Names</t>
  </si>
  <si>
    <t>Extract the First 3 Digits of the Brand Names</t>
  </si>
  <si>
    <t xml:space="preserve">  </t>
  </si>
  <si>
    <t>Party Food</t>
  </si>
  <si>
    <t>Your Dress</t>
  </si>
  <si>
    <t>Good Camera</t>
  </si>
  <si>
    <t>Would you Go ?</t>
  </si>
  <si>
    <t>Fantastic</t>
  </si>
  <si>
    <t>Okayish</t>
  </si>
  <si>
    <t>Bad</t>
  </si>
  <si>
    <t>Good</t>
  </si>
  <si>
    <t>Spectacular</t>
  </si>
  <si>
    <t>Yes</t>
  </si>
  <si>
    <t>No</t>
  </si>
  <si>
    <t>Attach all three Dress Type, Size and Brand into one sentence</t>
  </si>
  <si>
    <t>Task</t>
  </si>
  <si>
    <t>His Shirt size is S of Louis Vuitton</t>
  </si>
  <si>
    <t>His Pants size is S of Burberry</t>
  </si>
  <si>
    <t>His Pants size is M of H&amp;M</t>
  </si>
  <si>
    <t>His Shirt size is L of Ralph Lauren</t>
  </si>
  <si>
    <t>Name</t>
  </si>
  <si>
    <t>Siddhartha</t>
  </si>
  <si>
    <t>Sajita</t>
  </si>
  <si>
    <t>Vivek</t>
  </si>
  <si>
    <t>Jeet</t>
  </si>
  <si>
    <t>Praveen</t>
  </si>
  <si>
    <t>His Shirt size is M of Chanel</t>
  </si>
  <si>
    <t>Final Version of the Task Description</t>
  </si>
  <si>
    <t>Bought On</t>
  </si>
  <si>
    <t>Today</t>
  </si>
  <si>
    <t>How Many Days it has been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</si>
</sst>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rgb="FF595959"/>
      <name val="Calibri"/>
      <family val="2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595959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595959"/>
      <name val="Calibri"/>
      <family val="2"/>
    </font>
    <font>
      <sz val="11"/>
      <color theme="5" tint="0.7999816888943144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B48F"/>
        <bgColor indexed="64"/>
      </patternFill>
    </fill>
    <fill>
      <patternFill patternType="solid">
        <fgColor rgb="FFFCF492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 style="thin">
        <color rgb="FFBDFFD5"/>
      </left>
      <right style="thin">
        <color rgb="FFBDFFD5"/>
      </right>
      <top style="thin">
        <color rgb="FFBDFFD5"/>
      </top>
      <bottom style="thin">
        <color rgb="FFBDFFD5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horizontal="center" vertical="center" readingOrder="1"/>
    </xf>
    <xf numFmtId="0" fontId="3" fillId="3" borderId="0" xfId="0" applyFont="1" applyFill="1"/>
    <xf numFmtId="0" fontId="4" fillId="2" borderId="0" xfId="0" applyFont="1" applyFill="1"/>
    <xf numFmtId="0" fontId="5" fillId="0" borderId="0" xfId="0" applyFont="1"/>
    <xf numFmtId="0" fontId="6" fillId="0" borderId="1" xfId="0" applyFont="1" applyBorder="1" applyAlignment="1">
      <alignment horizontal="center" vertical="center" readingOrder="1"/>
    </xf>
    <xf numFmtId="0" fontId="7" fillId="0" borderId="0" xfId="0" applyFont="1"/>
    <xf numFmtId="2" fontId="6" fillId="0" borderId="1" xfId="0" applyNumberFormat="1" applyFont="1" applyBorder="1" applyAlignment="1">
      <alignment horizontal="center" vertical="center" readingOrder="1"/>
    </xf>
    <xf numFmtId="0" fontId="5" fillId="0" borderId="0" xfId="0" applyFont="1" applyAlignment="1">
      <alignment horizontal="center"/>
    </xf>
    <xf numFmtId="0" fontId="5" fillId="3" borderId="0" xfId="0" applyFont="1" applyFill="1" applyAlignment="1">
      <alignment horizontal="center"/>
    </xf>
    <xf numFmtId="0" fontId="5" fillId="4" borderId="0" xfId="0" applyFont="1" applyFill="1" applyAlignment="1">
      <alignment horizontal="center" vertical="center"/>
    </xf>
    <xf numFmtId="2" fontId="7" fillId="0" borderId="0" xfId="0" applyNumberFormat="1" applyFont="1"/>
    <xf numFmtId="2" fontId="5" fillId="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1" fillId="0" borderId="1" xfId="0" applyFont="1" applyBorder="1" applyAlignment="1">
      <alignment horizontal="center" vertical="center" readingOrder="1"/>
    </xf>
    <xf numFmtId="0" fontId="3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 vertical="center"/>
    </xf>
    <xf numFmtId="0" fontId="6" fillId="0" borderId="1" xfId="0" applyFont="1" applyBorder="1" applyAlignment="1">
      <alignment horizontal="left" vertical="center" readingOrder="1"/>
    </xf>
    <xf numFmtId="15" fontId="6" fillId="0" borderId="1" xfId="0" applyNumberFormat="1" applyFont="1" applyBorder="1" applyAlignment="1">
      <alignment horizontal="center" vertical="center" readingOrder="1"/>
    </xf>
    <xf numFmtId="0" fontId="8" fillId="6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 wrapText="1"/>
    </xf>
    <xf numFmtId="0" fontId="10" fillId="5" borderId="0" xfId="0" applyFont="1" applyFill="1" applyAlignment="1">
      <alignment horizontal="left" vertical="center" wrapText="1"/>
    </xf>
  </cellXfs>
  <cellStyles count="1">
    <cellStyle name="Normal" xfId="0" builtinId="0"/>
  </cellStyles>
  <dxfs count="21"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1" defaultTableStyle="TableStyleMedium2" defaultPivotStyle="PivotStyleLight16">
    <tableStyle name="Invisible" pivot="0" table="0" count="0"/>
  </tableStyles>
  <colors>
    <mruColors>
      <color rgb="FFFFB48F"/>
      <color rgb="FF66FF99"/>
      <color rgb="FFFCF492"/>
      <color rgb="FFFF97B7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519039</xdr:colOff>
      <xdr:row>41</xdr:row>
      <xdr:rowOff>210332</xdr:rowOff>
    </xdr:from>
    <xdr:to>
      <xdr:col>12</xdr:col>
      <xdr:colOff>468239</xdr:colOff>
      <xdr:row>44</xdr:row>
      <xdr:rowOff>170451</xdr:rowOff>
    </xdr:to>
    <xdr:sp macro="" textlink="">
      <xdr:nvSpPr>
        <xdr:cNvPr id="2" name="TextBox 3">
          <a:extLst>
            <a:ext uri="{FF2B5EF4-FFF2-40B4-BE49-F238E27FC236}">
              <a16:creationId xmlns:a16="http://schemas.microsoft.com/office/drawing/2014/main" xmlns="" id="{ADD2F86E-286C-4A11-A5B7-C790FB20BD57}"/>
            </a:ext>
          </a:extLst>
        </xdr:cNvPr>
        <xdr:cNvSpPr txBox="1"/>
      </xdr:nvSpPr>
      <xdr:spPr>
        <a:xfrm>
          <a:off x="6224514" y="1077107"/>
          <a:ext cx="2997200" cy="760219"/>
        </a:xfrm>
        <a:prstGeom prst="rect">
          <a:avLst/>
        </a:prstGeom>
        <a:noFill/>
        <a:ln>
          <a:solidFill>
            <a:srgbClr val="FFC000"/>
          </a:solidFill>
        </a:ln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ct val="130000"/>
            </a:lnSpc>
          </a:pPr>
          <a:r>
            <a:rPr lang="en-US" sz="1400">
              <a:solidFill>
                <a:srgbClr val="666666"/>
              </a:solidFill>
              <a:latin typeface="Poppins SemiBold"/>
              <a:cs typeface="Poppins SemiBold"/>
            </a:rPr>
            <a:t>Is the price of fruit greater than “6“?</a:t>
          </a:r>
        </a:p>
      </xdr:txBody>
    </xdr:sp>
    <xdr:clientData/>
  </xdr:twoCellAnchor>
  <xdr:twoCellAnchor>
    <xdr:from>
      <xdr:col>6</xdr:col>
      <xdr:colOff>519039</xdr:colOff>
      <xdr:row>6</xdr:row>
      <xdr:rowOff>210332</xdr:rowOff>
    </xdr:from>
    <xdr:to>
      <xdr:col>11</xdr:col>
      <xdr:colOff>468239</xdr:colOff>
      <xdr:row>9</xdr:row>
      <xdr:rowOff>186863</xdr:rowOff>
    </xdr:to>
    <xdr:sp macro="" textlink="">
      <xdr:nvSpPr>
        <xdr:cNvPr id="3" name="TextBox 3">
          <a:extLst>
            <a:ext uri="{FF2B5EF4-FFF2-40B4-BE49-F238E27FC236}">
              <a16:creationId xmlns:a16="http://schemas.microsoft.com/office/drawing/2014/main" xmlns="" id="{80487B17-D4D0-4946-8AE8-E0B112F1F232}"/>
            </a:ext>
          </a:extLst>
        </xdr:cNvPr>
        <xdr:cNvSpPr txBox="1"/>
      </xdr:nvSpPr>
      <xdr:spPr>
        <a:xfrm>
          <a:off x="7567539" y="884409"/>
          <a:ext cx="2989873" cy="767839"/>
        </a:xfrm>
        <a:prstGeom prst="rect">
          <a:avLst/>
        </a:prstGeom>
        <a:noFill/>
        <a:ln>
          <a:solidFill>
            <a:srgbClr val="FFC000"/>
          </a:solidFill>
        </a:ln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ct val="130000"/>
            </a:lnSpc>
          </a:pPr>
          <a:r>
            <a:rPr lang="en-US" sz="1400">
              <a:solidFill>
                <a:srgbClr val="666666"/>
              </a:solidFill>
              <a:latin typeface="Poppins SemiBold"/>
              <a:cs typeface="Poppins SemiBold"/>
            </a:rPr>
            <a:t>Would you go to the Party if the Food</a:t>
          </a:r>
          <a:r>
            <a:rPr lang="en-US" sz="1400" baseline="0">
              <a:solidFill>
                <a:srgbClr val="666666"/>
              </a:solidFill>
              <a:latin typeface="Poppins SemiBold"/>
              <a:cs typeface="Poppins SemiBold"/>
            </a:rPr>
            <a:t> is Bad ?</a:t>
          </a:r>
          <a:endParaRPr lang="en-US" sz="1400">
            <a:solidFill>
              <a:srgbClr val="666666"/>
            </a:solidFill>
            <a:latin typeface="Poppins SemiBold"/>
            <a:cs typeface="Poppins SemiBold"/>
          </a:endParaRPr>
        </a:p>
      </xdr:txBody>
    </xdr:sp>
    <xdr:clientData/>
  </xdr:twoCellAnchor>
  <xdr:twoCellAnchor>
    <xdr:from>
      <xdr:col>6</xdr:col>
      <xdr:colOff>519039</xdr:colOff>
      <xdr:row>24</xdr:row>
      <xdr:rowOff>210332</xdr:rowOff>
    </xdr:from>
    <xdr:to>
      <xdr:col>11</xdr:col>
      <xdr:colOff>468239</xdr:colOff>
      <xdr:row>27</xdr:row>
      <xdr:rowOff>186863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xmlns="" id="{4F5B7F1D-9874-43B2-9E74-A1A7B28A84D7}"/>
            </a:ext>
          </a:extLst>
        </xdr:cNvPr>
        <xdr:cNvSpPr txBox="1"/>
      </xdr:nvSpPr>
      <xdr:spPr>
        <a:xfrm>
          <a:off x="7567539" y="884409"/>
          <a:ext cx="2989873" cy="767839"/>
        </a:xfrm>
        <a:prstGeom prst="rect">
          <a:avLst/>
        </a:prstGeom>
        <a:noFill/>
        <a:ln>
          <a:solidFill>
            <a:srgbClr val="FFC000"/>
          </a:solidFill>
        </a:ln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ct val="130000"/>
            </a:lnSpc>
          </a:pPr>
          <a:r>
            <a:rPr lang="en-US" sz="1400">
              <a:solidFill>
                <a:srgbClr val="666666"/>
              </a:solidFill>
              <a:latin typeface="Poppins SemiBold"/>
              <a:cs typeface="Poppins SemiBold"/>
            </a:rPr>
            <a:t>Would you go to the Party if your Dress </a:t>
          </a:r>
          <a:r>
            <a:rPr lang="en-US" sz="1400" baseline="0">
              <a:solidFill>
                <a:srgbClr val="666666"/>
              </a:solidFill>
              <a:latin typeface="Poppins SemiBold"/>
              <a:cs typeface="Poppins SemiBold"/>
            </a:rPr>
            <a:t>is Okayish ?</a:t>
          </a:r>
          <a:endParaRPr lang="en-US" sz="1400">
            <a:solidFill>
              <a:srgbClr val="666666"/>
            </a:solidFill>
            <a:latin typeface="Poppins SemiBold"/>
            <a:cs typeface="Poppins SemiBold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125157</xdr:colOff>
      <xdr:row>1</xdr:row>
      <xdr:rowOff>24888</xdr:rowOff>
    </xdr:to>
    <xdr:sp macro="[0]!Sheet22.hardconcat" textlink="">
      <xdr:nvSpPr>
        <xdr:cNvPr id="2" name="Graphic 7" descr="Play">
          <a:extLst>
            <a:ext uri="{FF2B5EF4-FFF2-40B4-BE49-F238E27FC236}">
              <a16:creationId xmlns:a16="http://schemas.microsoft.com/office/drawing/2014/main" xmlns="" id="{5B6291DE-FD84-40F7-95ED-9F2F1CEEEE26}"/>
            </a:ext>
          </a:extLst>
        </xdr:cNvPr>
        <xdr:cNvSpPr/>
      </xdr:nvSpPr>
      <xdr:spPr>
        <a:xfrm>
          <a:off x="0" y="0"/>
          <a:ext cx="734757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11</xdr:col>
      <xdr:colOff>357186</xdr:colOff>
      <xdr:row>12</xdr:row>
      <xdr:rowOff>222252</xdr:rowOff>
    </xdr:to>
    <xdr:sp macro="[0]!Sheet22.conca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xmlns="" id="{6B8C6427-DCF2-4C1C-8932-1DEFD3709852}"/>
            </a:ext>
          </a:extLst>
        </xdr:cNvPr>
        <xdr:cNvSpPr/>
      </xdr:nvSpPr>
      <xdr:spPr>
        <a:xfrm>
          <a:off x="8439150" y="2714625"/>
          <a:ext cx="966786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  <xdr:twoCellAnchor>
    <xdr:from>
      <xdr:col>10</xdr:col>
      <xdr:colOff>0</xdr:colOff>
      <xdr:row>27</xdr:row>
      <xdr:rowOff>0</xdr:rowOff>
    </xdr:from>
    <xdr:to>
      <xdr:col>11</xdr:col>
      <xdr:colOff>357186</xdr:colOff>
      <xdr:row>27</xdr:row>
      <xdr:rowOff>222252</xdr:rowOff>
    </xdr:to>
    <xdr:sp macro="[0]!Sheet22.textjoi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xmlns="" id="{83C2362E-0E15-426E-BB44-BDCAF3619AC8}"/>
            </a:ext>
          </a:extLst>
        </xdr:cNvPr>
        <xdr:cNvSpPr/>
      </xdr:nvSpPr>
      <xdr:spPr>
        <a:xfrm>
          <a:off x="8439150" y="6048375"/>
          <a:ext cx="966786" cy="222252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n-IN" sz="10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125157</xdr:colOff>
      <xdr:row>1</xdr:row>
      <xdr:rowOff>24888</xdr:rowOff>
    </xdr:to>
    <xdr:sp macro="[0]!Sheet23.upper" textlink="">
      <xdr:nvSpPr>
        <xdr:cNvPr id="2" name="Graphic 7" descr="Play">
          <a:extLst>
            <a:ext uri="{FF2B5EF4-FFF2-40B4-BE49-F238E27FC236}">
              <a16:creationId xmlns:a16="http://schemas.microsoft.com/office/drawing/2014/main" xmlns="" id="{BB715D66-37D1-4BAB-9D6B-D545C34E0EDE}"/>
            </a:ext>
          </a:extLst>
        </xdr:cNvPr>
        <xdr:cNvSpPr/>
      </xdr:nvSpPr>
      <xdr:spPr>
        <a:xfrm>
          <a:off x="0" y="0"/>
          <a:ext cx="734757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11</xdr:col>
      <xdr:colOff>357186</xdr:colOff>
      <xdr:row>12</xdr:row>
      <xdr:rowOff>222252</xdr:rowOff>
    </xdr:to>
    <xdr:sp macro="[0]!Sheet23.low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xmlns="" id="{7FE22280-A64F-4AC6-A53E-C5C93D29F6EE}"/>
            </a:ext>
          </a:extLst>
        </xdr:cNvPr>
        <xdr:cNvSpPr/>
      </xdr:nvSpPr>
      <xdr:spPr>
        <a:xfrm>
          <a:off x="6096000" y="2286000"/>
          <a:ext cx="966786" cy="19367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  <xdr:twoCellAnchor>
    <xdr:from>
      <xdr:col>10</xdr:col>
      <xdr:colOff>0</xdr:colOff>
      <xdr:row>27</xdr:row>
      <xdr:rowOff>0</xdr:rowOff>
    </xdr:from>
    <xdr:to>
      <xdr:col>11</xdr:col>
      <xdr:colOff>357186</xdr:colOff>
      <xdr:row>27</xdr:row>
      <xdr:rowOff>222252</xdr:rowOff>
    </xdr:to>
    <xdr:sp macro="[0]!Sheet23.prope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xmlns="" id="{9101926E-2140-4EF7-81A2-05E2D30A378A}"/>
            </a:ext>
          </a:extLst>
        </xdr:cNvPr>
        <xdr:cNvSpPr/>
      </xdr:nvSpPr>
      <xdr:spPr>
        <a:xfrm>
          <a:off x="6096000" y="5143500"/>
          <a:ext cx="966786" cy="19367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n-IN" sz="10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125157</xdr:colOff>
      <xdr:row>1</xdr:row>
      <xdr:rowOff>24888</xdr:rowOff>
    </xdr:to>
    <xdr:sp macro="[0]!Sheet21.left" textlink="">
      <xdr:nvSpPr>
        <xdr:cNvPr id="2" name="Graphic 7" descr="Play">
          <a:extLst>
            <a:ext uri="{FF2B5EF4-FFF2-40B4-BE49-F238E27FC236}">
              <a16:creationId xmlns:a16="http://schemas.microsoft.com/office/drawing/2014/main" xmlns="" id="{74440B70-9EC0-40F4-8E54-4E4F8A4F37B0}"/>
            </a:ext>
          </a:extLst>
        </xdr:cNvPr>
        <xdr:cNvSpPr/>
      </xdr:nvSpPr>
      <xdr:spPr>
        <a:xfrm>
          <a:off x="0" y="0"/>
          <a:ext cx="734757" cy="215388"/>
        </a:xfrm>
        <a:prstGeom prst="roundRect">
          <a:avLst>
            <a:gd name="adj" fmla="val 50000"/>
          </a:avLst>
        </a:prstGeom>
        <a:solidFill>
          <a:srgbClr val="FFB48F"/>
        </a:solidFill>
        <a:ln w="2480" cap="flat">
          <a:noFill/>
          <a:prstDash val="solid"/>
          <a:miter/>
        </a:ln>
      </xdr:spPr>
      <xdr:txBody>
        <a:bodyPr rtlCol="0" anchor="ctr"/>
        <a:lstStyle/>
        <a:p>
          <a:pPr algn="ctr"/>
          <a:r>
            <a:rPr lang="en-IN"/>
            <a:t>Start</a:t>
          </a:r>
        </a:p>
      </xdr:txBody>
    </xdr:sp>
    <xdr:clientData/>
  </xdr:twoCellAnchor>
  <xdr:twoCellAnchor>
    <xdr:from>
      <xdr:col>10</xdr:col>
      <xdr:colOff>0</xdr:colOff>
      <xdr:row>12</xdr:row>
      <xdr:rowOff>0</xdr:rowOff>
    </xdr:from>
    <xdr:to>
      <xdr:col>11</xdr:col>
      <xdr:colOff>357186</xdr:colOff>
      <xdr:row>12</xdr:row>
      <xdr:rowOff>222252</xdr:rowOff>
    </xdr:to>
    <xdr:sp macro="[0]!Sheet21.righ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xmlns="" id="{69D1A2A9-D38A-4902-9379-A52A8928F4F4}"/>
            </a:ext>
          </a:extLst>
        </xdr:cNvPr>
        <xdr:cNvSpPr/>
      </xdr:nvSpPr>
      <xdr:spPr>
        <a:xfrm>
          <a:off x="6096000" y="2286000"/>
          <a:ext cx="966786" cy="19367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Next</a:t>
          </a:r>
        </a:p>
      </xdr:txBody>
    </xdr:sp>
    <xdr:clientData/>
  </xdr:twoCellAnchor>
  <xdr:twoCellAnchor>
    <xdr:from>
      <xdr:col>10</xdr:col>
      <xdr:colOff>0</xdr:colOff>
      <xdr:row>27</xdr:row>
      <xdr:rowOff>0</xdr:rowOff>
    </xdr:from>
    <xdr:to>
      <xdr:col>11</xdr:col>
      <xdr:colOff>357186</xdr:colOff>
      <xdr:row>27</xdr:row>
      <xdr:rowOff>222252</xdr:rowOff>
    </xdr:to>
    <xdr:sp macro="[0]!Sheet21.mid" textlink="">
      <xdr:nvSpPr>
        <xdr:cNvPr id="4" name="Rectangle: Rounded Corners 3">
          <a:extLst>
            <a:ext uri="{FF2B5EF4-FFF2-40B4-BE49-F238E27FC236}">
              <a16:creationId xmlns:a16="http://schemas.microsoft.com/office/drawing/2014/main" xmlns="" id="{005209C5-0690-4639-A02B-19DF07062274}"/>
            </a:ext>
          </a:extLst>
        </xdr:cNvPr>
        <xdr:cNvSpPr/>
      </xdr:nvSpPr>
      <xdr:spPr>
        <a:xfrm>
          <a:off x="6096000" y="5143500"/>
          <a:ext cx="966786" cy="193677"/>
        </a:xfrm>
        <a:prstGeom prst="roundRect">
          <a:avLst>
            <a:gd name="adj" fmla="val 50000"/>
          </a:avLst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Go to </a:t>
          </a:r>
          <a:r>
            <a:rPr lang="en-IN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Next</a:t>
          </a:r>
          <a:endParaRPr lang="en-IN" sz="10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13.bin"/><Relationship Id="rId18" Type="http://schemas.openxmlformats.org/officeDocument/2006/relationships/printerSettings" Target="../printerSettings/printerSettings18.bin"/><Relationship Id="rId26" Type="http://schemas.openxmlformats.org/officeDocument/2006/relationships/printerSettings" Target="../printerSettings/printerSettings26.bin"/><Relationship Id="rId39" Type="http://schemas.openxmlformats.org/officeDocument/2006/relationships/printerSettings" Target="../printerSettings/printerSettings39.bin"/><Relationship Id="rId21" Type="http://schemas.openxmlformats.org/officeDocument/2006/relationships/printerSettings" Target="../printerSettings/printerSettings21.bin"/><Relationship Id="rId34" Type="http://schemas.openxmlformats.org/officeDocument/2006/relationships/printerSettings" Target="../printerSettings/printerSettings34.bin"/><Relationship Id="rId42" Type="http://schemas.openxmlformats.org/officeDocument/2006/relationships/printerSettings" Target="../printerSettings/printerSettings42.bin"/><Relationship Id="rId47" Type="http://schemas.openxmlformats.org/officeDocument/2006/relationships/printerSettings" Target="../printerSettings/printerSettings47.bin"/><Relationship Id="rId50" Type="http://schemas.openxmlformats.org/officeDocument/2006/relationships/printerSettings" Target="../printerSettings/printerSettings50.bin"/><Relationship Id="rId55" Type="http://schemas.openxmlformats.org/officeDocument/2006/relationships/printerSettings" Target="../printerSettings/printerSettings55.bin"/><Relationship Id="rId63" Type="http://schemas.openxmlformats.org/officeDocument/2006/relationships/printerSettings" Target="../printerSettings/printerSettings63.bin"/><Relationship Id="rId68" Type="http://schemas.openxmlformats.org/officeDocument/2006/relationships/printerSettings" Target="../printerSettings/printerSettings68.bin"/><Relationship Id="rId76" Type="http://schemas.openxmlformats.org/officeDocument/2006/relationships/printerSettings" Target="../printerSettings/printerSettings76.bin"/><Relationship Id="rId7" Type="http://schemas.openxmlformats.org/officeDocument/2006/relationships/printerSettings" Target="../printerSettings/printerSettings7.bin"/><Relationship Id="rId71" Type="http://schemas.openxmlformats.org/officeDocument/2006/relationships/printerSettings" Target="../printerSettings/printerSettings71.bin"/><Relationship Id="rId2" Type="http://schemas.openxmlformats.org/officeDocument/2006/relationships/printerSettings" Target="../printerSettings/printerSettings2.bin"/><Relationship Id="rId16" Type="http://schemas.openxmlformats.org/officeDocument/2006/relationships/printerSettings" Target="../printerSettings/printerSettings16.bin"/><Relationship Id="rId29" Type="http://schemas.openxmlformats.org/officeDocument/2006/relationships/printerSettings" Target="../printerSettings/printerSettings29.bin"/><Relationship Id="rId11" Type="http://schemas.openxmlformats.org/officeDocument/2006/relationships/printerSettings" Target="../printerSettings/printerSettings11.bin"/><Relationship Id="rId24" Type="http://schemas.openxmlformats.org/officeDocument/2006/relationships/printerSettings" Target="../printerSettings/printerSettings24.bin"/><Relationship Id="rId32" Type="http://schemas.openxmlformats.org/officeDocument/2006/relationships/printerSettings" Target="../printerSettings/printerSettings32.bin"/><Relationship Id="rId37" Type="http://schemas.openxmlformats.org/officeDocument/2006/relationships/printerSettings" Target="../printerSettings/printerSettings37.bin"/><Relationship Id="rId40" Type="http://schemas.openxmlformats.org/officeDocument/2006/relationships/printerSettings" Target="../printerSettings/printerSettings40.bin"/><Relationship Id="rId45" Type="http://schemas.openxmlformats.org/officeDocument/2006/relationships/printerSettings" Target="../printerSettings/printerSettings45.bin"/><Relationship Id="rId53" Type="http://schemas.openxmlformats.org/officeDocument/2006/relationships/printerSettings" Target="../printerSettings/printerSettings53.bin"/><Relationship Id="rId58" Type="http://schemas.openxmlformats.org/officeDocument/2006/relationships/printerSettings" Target="../printerSettings/printerSettings58.bin"/><Relationship Id="rId66" Type="http://schemas.openxmlformats.org/officeDocument/2006/relationships/printerSettings" Target="../printerSettings/printerSettings66.bin"/><Relationship Id="rId74" Type="http://schemas.openxmlformats.org/officeDocument/2006/relationships/printerSettings" Target="../printerSettings/printerSettings74.bin"/><Relationship Id="rId79" Type="http://schemas.openxmlformats.org/officeDocument/2006/relationships/printerSettings" Target="../printerSettings/printerSettings79.bin"/><Relationship Id="rId5" Type="http://schemas.openxmlformats.org/officeDocument/2006/relationships/printerSettings" Target="../printerSettings/printerSettings5.bin"/><Relationship Id="rId61" Type="http://schemas.openxmlformats.org/officeDocument/2006/relationships/printerSettings" Target="../printerSettings/printerSettings61.bin"/><Relationship Id="rId10" Type="http://schemas.openxmlformats.org/officeDocument/2006/relationships/printerSettings" Target="../printerSettings/printerSettings10.bin"/><Relationship Id="rId19" Type="http://schemas.openxmlformats.org/officeDocument/2006/relationships/printerSettings" Target="../printerSettings/printerSettings19.bin"/><Relationship Id="rId31" Type="http://schemas.openxmlformats.org/officeDocument/2006/relationships/printerSettings" Target="../printerSettings/printerSettings31.bin"/><Relationship Id="rId44" Type="http://schemas.openxmlformats.org/officeDocument/2006/relationships/printerSettings" Target="../printerSettings/printerSettings44.bin"/><Relationship Id="rId52" Type="http://schemas.openxmlformats.org/officeDocument/2006/relationships/printerSettings" Target="../printerSettings/printerSettings52.bin"/><Relationship Id="rId60" Type="http://schemas.openxmlformats.org/officeDocument/2006/relationships/printerSettings" Target="../printerSettings/printerSettings60.bin"/><Relationship Id="rId65" Type="http://schemas.openxmlformats.org/officeDocument/2006/relationships/printerSettings" Target="../printerSettings/printerSettings65.bin"/><Relationship Id="rId73" Type="http://schemas.openxmlformats.org/officeDocument/2006/relationships/printerSettings" Target="../printerSettings/printerSettings73.bin"/><Relationship Id="rId78" Type="http://schemas.openxmlformats.org/officeDocument/2006/relationships/printerSettings" Target="../printerSettings/printerSettings78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printerSettings" Target="../printerSettings/printerSettings14.bin"/><Relationship Id="rId22" Type="http://schemas.openxmlformats.org/officeDocument/2006/relationships/printerSettings" Target="../printerSettings/printerSettings22.bin"/><Relationship Id="rId27" Type="http://schemas.openxmlformats.org/officeDocument/2006/relationships/printerSettings" Target="../printerSettings/printerSettings27.bin"/><Relationship Id="rId30" Type="http://schemas.openxmlformats.org/officeDocument/2006/relationships/printerSettings" Target="../printerSettings/printerSettings30.bin"/><Relationship Id="rId35" Type="http://schemas.openxmlformats.org/officeDocument/2006/relationships/printerSettings" Target="../printerSettings/printerSettings35.bin"/><Relationship Id="rId43" Type="http://schemas.openxmlformats.org/officeDocument/2006/relationships/printerSettings" Target="../printerSettings/printerSettings43.bin"/><Relationship Id="rId48" Type="http://schemas.openxmlformats.org/officeDocument/2006/relationships/printerSettings" Target="../printerSettings/printerSettings48.bin"/><Relationship Id="rId56" Type="http://schemas.openxmlformats.org/officeDocument/2006/relationships/printerSettings" Target="../printerSettings/printerSettings56.bin"/><Relationship Id="rId64" Type="http://schemas.openxmlformats.org/officeDocument/2006/relationships/printerSettings" Target="../printerSettings/printerSettings64.bin"/><Relationship Id="rId69" Type="http://schemas.openxmlformats.org/officeDocument/2006/relationships/printerSettings" Target="../printerSettings/printerSettings69.bin"/><Relationship Id="rId77" Type="http://schemas.openxmlformats.org/officeDocument/2006/relationships/printerSettings" Target="../printerSettings/printerSettings77.bin"/><Relationship Id="rId8" Type="http://schemas.openxmlformats.org/officeDocument/2006/relationships/printerSettings" Target="../printerSettings/printerSettings8.bin"/><Relationship Id="rId51" Type="http://schemas.openxmlformats.org/officeDocument/2006/relationships/printerSettings" Target="../printerSettings/printerSettings51.bin"/><Relationship Id="rId72" Type="http://schemas.openxmlformats.org/officeDocument/2006/relationships/printerSettings" Target="../printerSettings/printerSettings72.bin"/><Relationship Id="rId3" Type="http://schemas.openxmlformats.org/officeDocument/2006/relationships/printerSettings" Target="../printerSettings/printerSettings3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25" Type="http://schemas.openxmlformats.org/officeDocument/2006/relationships/printerSettings" Target="../printerSettings/printerSettings25.bin"/><Relationship Id="rId33" Type="http://schemas.openxmlformats.org/officeDocument/2006/relationships/printerSettings" Target="../printerSettings/printerSettings33.bin"/><Relationship Id="rId38" Type="http://schemas.openxmlformats.org/officeDocument/2006/relationships/printerSettings" Target="../printerSettings/printerSettings38.bin"/><Relationship Id="rId46" Type="http://schemas.openxmlformats.org/officeDocument/2006/relationships/printerSettings" Target="../printerSettings/printerSettings46.bin"/><Relationship Id="rId59" Type="http://schemas.openxmlformats.org/officeDocument/2006/relationships/printerSettings" Target="../printerSettings/printerSettings59.bin"/><Relationship Id="rId67" Type="http://schemas.openxmlformats.org/officeDocument/2006/relationships/printerSettings" Target="../printerSettings/printerSettings67.bin"/><Relationship Id="rId20" Type="http://schemas.openxmlformats.org/officeDocument/2006/relationships/printerSettings" Target="../printerSettings/printerSettings20.bin"/><Relationship Id="rId41" Type="http://schemas.openxmlformats.org/officeDocument/2006/relationships/printerSettings" Target="../printerSettings/printerSettings41.bin"/><Relationship Id="rId54" Type="http://schemas.openxmlformats.org/officeDocument/2006/relationships/printerSettings" Target="../printerSettings/printerSettings54.bin"/><Relationship Id="rId62" Type="http://schemas.openxmlformats.org/officeDocument/2006/relationships/printerSettings" Target="../printerSettings/printerSettings62.bin"/><Relationship Id="rId70" Type="http://schemas.openxmlformats.org/officeDocument/2006/relationships/printerSettings" Target="../printerSettings/printerSettings70.bin"/><Relationship Id="rId75" Type="http://schemas.openxmlformats.org/officeDocument/2006/relationships/printerSettings" Target="../printerSettings/printerSettings75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5" Type="http://schemas.openxmlformats.org/officeDocument/2006/relationships/printerSettings" Target="../printerSettings/printerSettings15.bin"/><Relationship Id="rId23" Type="http://schemas.openxmlformats.org/officeDocument/2006/relationships/printerSettings" Target="../printerSettings/printerSettings23.bin"/><Relationship Id="rId28" Type="http://schemas.openxmlformats.org/officeDocument/2006/relationships/printerSettings" Target="../printerSettings/printerSettings28.bin"/><Relationship Id="rId36" Type="http://schemas.openxmlformats.org/officeDocument/2006/relationships/printerSettings" Target="../printerSettings/printerSettings36.bin"/><Relationship Id="rId49" Type="http://schemas.openxmlformats.org/officeDocument/2006/relationships/printerSettings" Target="../printerSettings/printerSettings49.bin"/><Relationship Id="rId57" Type="http://schemas.openxmlformats.org/officeDocument/2006/relationships/printerSettings" Target="../printerSettings/printerSettings57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92.bin"/><Relationship Id="rId18" Type="http://schemas.openxmlformats.org/officeDocument/2006/relationships/printerSettings" Target="../printerSettings/printerSettings97.bin"/><Relationship Id="rId26" Type="http://schemas.openxmlformats.org/officeDocument/2006/relationships/printerSettings" Target="../printerSettings/printerSettings105.bin"/><Relationship Id="rId39" Type="http://schemas.openxmlformats.org/officeDocument/2006/relationships/printerSettings" Target="../printerSettings/printerSettings118.bin"/><Relationship Id="rId21" Type="http://schemas.openxmlformats.org/officeDocument/2006/relationships/printerSettings" Target="../printerSettings/printerSettings100.bin"/><Relationship Id="rId34" Type="http://schemas.openxmlformats.org/officeDocument/2006/relationships/printerSettings" Target="../printerSettings/printerSettings113.bin"/><Relationship Id="rId42" Type="http://schemas.openxmlformats.org/officeDocument/2006/relationships/printerSettings" Target="../printerSettings/printerSettings121.bin"/><Relationship Id="rId47" Type="http://schemas.openxmlformats.org/officeDocument/2006/relationships/printerSettings" Target="../printerSettings/printerSettings126.bin"/><Relationship Id="rId50" Type="http://schemas.openxmlformats.org/officeDocument/2006/relationships/printerSettings" Target="../printerSettings/printerSettings129.bin"/><Relationship Id="rId55" Type="http://schemas.openxmlformats.org/officeDocument/2006/relationships/printerSettings" Target="../printerSettings/printerSettings134.bin"/><Relationship Id="rId63" Type="http://schemas.openxmlformats.org/officeDocument/2006/relationships/printerSettings" Target="../printerSettings/printerSettings142.bin"/><Relationship Id="rId68" Type="http://schemas.openxmlformats.org/officeDocument/2006/relationships/printerSettings" Target="../printerSettings/printerSettings147.bin"/><Relationship Id="rId76" Type="http://schemas.openxmlformats.org/officeDocument/2006/relationships/printerSettings" Target="../printerSettings/printerSettings155.bin"/><Relationship Id="rId7" Type="http://schemas.openxmlformats.org/officeDocument/2006/relationships/printerSettings" Target="../printerSettings/printerSettings86.bin"/><Relationship Id="rId71" Type="http://schemas.openxmlformats.org/officeDocument/2006/relationships/printerSettings" Target="../printerSettings/printerSettings150.bin"/><Relationship Id="rId2" Type="http://schemas.openxmlformats.org/officeDocument/2006/relationships/printerSettings" Target="../printerSettings/printerSettings81.bin"/><Relationship Id="rId16" Type="http://schemas.openxmlformats.org/officeDocument/2006/relationships/printerSettings" Target="../printerSettings/printerSettings95.bin"/><Relationship Id="rId29" Type="http://schemas.openxmlformats.org/officeDocument/2006/relationships/printerSettings" Target="../printerSettings/printerSettings108.bin"/><Relationship Id="rId11" Type="http://schemas.openxmlformats.org/officeDocument/2006/relationships/printerSettings" Target="../printerSettings/printerSettings90.bin"/><Relationship Id="rId24" Type="http://schemas.openxmlformats.org/officeDocument/2006/relationships/printerSettings" Target="../printerSettings/printerSettings103.bin"/><Relationship Id="rId32" Type="http://schemas.openxmlformats.org/officeDocument/2006/relationships/printerSettings" Target="../printerSettings/printerSettings111.bin"/><Relationship Id="rId37" Type="http://schemas.openxmlformats.org/officeDocument/2006/relationships/printerSettings" Target="../printerSettings/printerSettings116.bin"/><Relationship Id="rId40" Type="http://schemas.openxmlformats.org/officeDocument/2006/relationships/printerSettings" Target="../printerSettings/printerSettings119.bin"/><Relationship Id="rId45" Type="http://schemas.openxmlformats.org/officeDocument/2006/relationships/printerSettings" Target="../printerSettings/printerSettings124.bin"/><Relationship Id="rId53" Type="http://schemas.openxmlformats.org/officeDocument/2006/relationships/printerSettings" Target="../printerSettings/printerSettings132.bin"/><Relationship Id="rId58" Type="http://schemas.openxmlformats.org/officeDocument/2006/relationships/printerSettings" Target="../printerSettings/printerSettings137.bin"/><Relationship Id="rId66" Type="http://schemas.openxmlformats.org/officeDocument/2006/relationships/printerSettings" Target="../printerSettings/printerSettings145.bin"/><Relationship Id="rId74" Type="http://schemas.openxmlformats.org/officeDocument/2006/relationships/printerSettings" Target="../printerSettings/printerSettings153.bin"/><Relationship Id="rId79" Type="http://schemas.openxmlformats.org/officeDocument/2006/relationships/printerSettings" Target="../printerSettings/printerSettings158.bin"/><Relationship Id="rId5" Type="http://schemas.openxmlformats.org/officeDocument/2006/relationships/printerSettings" Target="../printerSettings/printerSettings84.bin"/><Relationship Id="rId61" Type="http://schemas.openxmlformats.org/officeDocument/2006/relationships/printerSettings" Target="../printerSettings/printerSettings140.bin"/><Relationship Id="rId10" Type="http://schemas.openxmlformats.org/officeDocument/2006/relationships/printerSettings" Target="../printerSettings/printerSettings89.bin"/><Relationship Id="rId19" Type="http://schemas.openxmlformats.org/officeDocument/2006/relationships/printerSettings" Target="../printerSettings/printerSettings98.bin"/><Relationship Id="rId31" Type="http://schemas.openxmlformats.org/officeDocument/2006/relationships/printerSettings" Target="../printerSettings/printerSettings110.bin"/><Relationship Id="rId44" Type="http://schemas.openxmlformats.org/officeDocument/2006/relationships/printerSettings" Target="../printerSettings/printerSettings123.bin"/><Relationship Id="rId52" Type="http://schemas.openxmlformats.org/officeDocument/2006/relationships/printerSettings" Target="../printerSettings/printerSettings131.bin"/><Relationship Id="rId60" Type="http://schemas.openxmlformats.org/officeDocument/2006/relationships/printerSettings" Target="../printerSettings/printerSettings139.bin"/><Relationship Id="rId65" Type="http://schemas.openxmlformats.org/officeDocument/2006/relationships/printerSettings" Target="../printerSettings/printerSettings144.bin"/><Relationship Id="rId73" Type="http://schemas.openxmlformats.org/officeDocument/2006/relationships/printerSettings" Target="../printerSettings/printerSettings152.bin"/><Relationship Id="rId78" Type="http://schemas.openxmlformats.org/officeDocument/2006/relationships/printerSettings" Target="../printerSettings/printerSettings157.bin"/><Relationship Id="rId4" Type="http://schemas.openxmlformats.org/officeDocument/2006/relationships/printerSettings" Target="../printerSettings/printerSettings83.bin"/><Relationship Id="rId9" Type="http://schemas.openxmlformats.org/officeDocument/2006/relationships/printerSettings" Target="../printerSettings/printerSettings88.bin"/><Relationship Id="rId14" Type="http://schemas.openxmlformats.org/officeDocument/2006/relationships/printerSettings" Target="../printerSettings/printerSettings93.bin"/><Relationship Id="rId22" Type="http://schemas.openxmlformats.org/officeDocument/2006/relationships/printerSettings" Target="../printerSettings/printerSettings101.bin"/><Relationship Id="rId27" Type="http://schemas.openxmlformats.org/officeDocument/2006/relationships/printerSettings" Target="../printerSettings/printerSettings106.bin"/><Relationship Id="rId30" Type="http://schemas.openxmlformats.org/officeDocument/2006/relationships/printerSettings" Target="../printerSettings/printerSettings109.bin"/><Relationship Id="rId35" Type="http://schemas.openxmlformats.org/officeDocument/2006/relationships/printerSettings" Target="../printerSettings/printerSettings114.bin"/><Relationship Id="rId43" Type="http://schemas.openxmlformats.org/officeDocument/2006/relationships/printerSettings" Target="../printerSettings/printerSettings122.bin"/><Relationship Id="rId48" Type="http://schemas.openxmlformats.org/officeDocument/2006/relationships/printerSettings" Target="../printerSettings/printerSettings127.bin"/><Relationship Id="rId56" Type="http://schemas.openxmlformats.org/officeDocument/2006/relationships/printerSettings" Target="../printerSettings/printerSettings135.bin"/><Relationship Id="rId64" Type="http://schemas.openxmlformats.org/officeDocument/2006/relationships/printerSettings" Target="../printerSettings/printerSettings143.bin"/><Relationship Id="rId69" Type="http://schemas.openxmlformats.org/officeDocument/2006/relationships/printerSettings" Target="../printerSettings/printerSettings148.bin"/><Relationship Id="rId77" Type="http://schemas.openxmlformats.org/officeDocument/2006/relationships/printerSettings" Target="../printerSettings/printerSettings156.bin"/><Relationship Id="rId8" Type="http://schemas.openxmlformats.org/officeDocument/2006/relationships/printerSettings" Target="../printerSettings/printerSettings87.bin"/><Relationship Id="rId51" Type="http://schemas.openxmlformats.org/officeDocument/2006/relationships/printerSettings" Target="../printerSettings/printerSettings130.bin"/><Relationship Id="rId72" Type="http://schemas.openxmlformats.org/officeDocument/2006/relationships/printerSettings" Target="../printerSettings/printerSettings151.bin"/><Relationship Id="rId3" Type="http://schemas.openxmlformats.org/officeDocument/2006/relationships/printerSettings" Target="../printerSettings/printerSettings82.bin"/><Relationship Id="rId12" Type="http://schemas.openxmlformats.org/officeDocument/2006/relationships/printerSettings" Target="../printerSettings/printerSettings91.bin"/><Relationship Id="rId17" Type="http://schemas.openxmlformats.org/officeDocument/2006/relationships/printerSettings" Target="../printerSettings/printerSettings96.bin"/><Relationship Id="rId25" Type="http://schemas.openxmlformats.org/officeDocument/2006/relationships/printerSettings" Target="../printerSettings/printerSettings104.bin"/><Relationship Id="rId33" Type="http://schemas.openxmlformats.org/officeDocument/2006/relationships/printerSettings" Target="../printerSettings/printerSettings112.bin"/><Relationship Id="rId38" Type="http://schemas.openxmlformats.org/officeDocument/2006/relationships/printerSettings" Target="../printerSettings/printerSettings117.bin"/><Relationship Id="rId46" Type="http://schemas.openxmlformats.org/officeDocument/2006/relationships/printerSettings" Target="../printerSettings/printerSettings125.bin"/><Relationship Id="rId59" Type="http://schemas.openxmlformats.org/officeDocument/2006/relationships/printerSettings" Target="../printerSettings/printerSettings138.bin"/><Relationship Id="rId67" Type="http://schemas.openxmlformats.org/officeDocument/2006/relationships/printerSettings" Target="../printerSettings/printerSettings146.bin"/><Relationship Id="rId20" Type="http://schemas.openxmlformats.org/officeDocument/2006/relationships/printerSettings" Target="../printerSettings/printerSettings99.bin"/><Relationship Id="rId41" Type="http://schemas.openxmlformats.org/officeDocument/2006/relationships/printerSettings" Target="../printerSettings/printerSettings120.bin"/><Relationship Id="rId54" Type="http://schemas.openxmlformats.org/officeDocument/2006/relationships/printerSettings" Target="../printerSettings/printerSettings133.bin"/><Relationship Id="rId62" Type="http://schemas.openxmlformats.org/officeDocument/2006/relationships/printerSettings" Target="../printerSettings/printerSettings141.bin"/><Relationship Id="rId70" Type="http://schemas.openxmlformats.org/officeDocument/2006/relationships/printerSettings" Target="../printerSettings/printerSettings149.bin"/><Relationship Id="rId75" Type="http://schemas.openxmlformats.org/officeDocument/2006/relationships/printerSettings" Target="../printerSettings/printerSettings154.bin"/><Relationship Id="rId1" Type="http://schemas.openxmlformats.org/officeDocument/2006/relationships/printerSettings" Target="../printerSettings/printerSettings80.bin"/><Relationship Id="rId6" Type="http://schemas.openxmlformats.org/officeDocument/2006/relationships/printerSettings" Target="../printerSettings/printerSettings85.bin"/><Relationship Id="rId15" Type="http://schemas.openxmlformats.org/officeDocument/2006/relationships/printerSettings" Target="../printerSettings/printerSettings94.bin"/><Relationship Id="rId23" Type="http://schemas.openxmlformats.org/officeDocument/2006/relationships/printerSettings" Target="../printerSettings/printerSettings102.bin"/><Relationship Id="rId28" Type="http://schemas.openxmlformats.org/officeDocument/2006/relationships/printerSettings" Target="../printerSettings/printerSettings107.bin"/><Relationship Id="rId36" Type="http://schemas.openxmlformats.org/officeDocument/2006/relationships/printerSettings" Target="../printerSettings/printerSettings115.bin"/><Relationship Id="rId49" Type="http://schemas.openxmlformats.org/officeDocument/2006/relationships/printerSettings" Target="../printerSettings/printerSettings128.bin"/><Relationship Id="rId57" Type="http://schemas.openxmlformats.org/officeDocument/2006/relationships/printerSettings" Target="../printerSettings/printerSettings136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171.bin"/><Relationship Id="rId18" Type="http://schemas.openxmlformats.org/officeDocument/2006/relationships/printerSettings" Target="../printerSettings/printerSettings176.bin"/><Relationship Id="rId26" Type="http://schemas.openxmlformats.org/officeDocument/2006/relationships/printerSettings" Target="../printerSettings/printerSettings184.bin"/><Relationship Id="rId39" Type="http://schemas.openxmlformats.org/officeDocument/2006/relationships/printerSettings" Target="../printerSettings/printerSettings197.bin"/><Relationship Id="rId21" Type="http://schemas.openxmlformats.org/officeDocument/2006/relationships/printerSettings" Target="../printerSettings/printerSettings179.bin"/><Relationship Id="rId34" Type="http://schemas.openxmlformats.org/officeDocument/2006/relationships/printerSettings" Target="../printerSettings/printerSettings192.bin"/><Relationship Id="rId42" Type="http://schemas.openxmlformats.org/officeDocument/2006/relationships/printerSettings" Target="../printerSettings/printerSettings200.bin"/><Relationship Id="rId47" Type="http://schemas.openxmlformats.org/officeDocument/2006/relationships/printerSettings" Target="../printerSettings/printerSettings205.bin"/><Relationship Id="rId50" Type="http://schemas.openxmlformats.org/officeDocument/2006/relationships/printerSettings" Target="../printerSettings/printerSettings208.bin"/><Relationship Id="rId55" Type="http://schemas.openxmlformats.org/officeDocument/2006/relationships/printerSettings" Target="../printerSettings/printerSettings213.bin"/><Relationship Id="rId63" Type="http://schemas.openxmlformats.org/officeDocument/2006/relationships/printerSettings" Target="../printerSettings/printerSettings221.bin"/><Relationship Id="rId68" Type="http://schemas.openxmlformats.org/officeDocument/2006/relationships/printerSettings" Target="../printerSettings/printerSettings226.bin"/><Relationship Id="rId76" Type="http://schemas.openxmlformats.org/officeDocument/2006/relationships/printerSettings" Target="../printerSettings/printerSettings234.bin"/><Relationship Id="rId7" Type="http://schemas.openxmlformats.org/officeDocument/2006/relationships/printerSettings" Target="../printerSettings/printerSettings165.bin"/><Relationship Id="rId71" Type="http://schemas.openxmlformats.org/officeDocument/2006/relationships/printerSettings" Target="../printerSettings/printerSettings229.bin"/><Relationship Id="rId2" Type="http://schemas.openxmlformats.org/officeDocument/2006/relationships/printerSettings" Target="../printerSettings/printerSettings160.bin"/><Relationship Id="rId16" Type="http://schemas.openxmlformats.org/officeDocument/2006/relationships/printerSettings" Target="../printerSettings/printerSettings174.bin"/><Relationship Id="rId29" Type="http://schemas.openxmlformats.org/officeDocument/2006/relationships/printerSettings" Target="../printerSettings/printerSettings187.bin"/><Relationship Id="rId11" Type="http://schemas.openxmlformats.org/officeDocument/2006/relationships/printerSettings" Target="../printerSettings/printerSettings169.bin"/><Relationship Id="rId24" Type="http://schemas.openxmlformats.org/officeDocument/2006/relationships/printerSettings" Target="../printerSettings/printerSettings182.bin"/><Relationship Id="rId32" Type="http://schemas.openxmlformats.org/officeDocument/2006/relationships/printerSettings" Target="../printerSettings/printerSettings190.bin"/><Relationship Id="rId37" Type="http://schemas.openxmlformats.org/officeDocument/2006/relationships/printerSettings" Target="../printerSettings/printerSettings195.bin"/><Relationship Id="rId40" Type="http://schemas.openxmlformats.org/officeDocument/2006/relationships/printerSettings" Target="../printerSettings/printerSettings198.bin"/><Relationship Id="rId45" Type="http://schemas.openxmlformats.org/officeDocument/2006/relationships/printerSettings" Target="../printerSettings/printerSettings203.bin"/><Relationship Id="rId53" Type="http://schemas.openxmlformats.org/officeDocument/2006/relationships/printerSettings" Target="../printerSettings/printerSettings211.bin"/><Relationship Id="rId58" Type="http://schemas.openxmlformats.org/officeDocument/2006/relationships/printerSettings" Target="../printerSettings/printerSettings216.bin"/><Relationship Id="rId66" Type="http://schemas.openxmlformats.org/officeDocument/2006/relationships/printerSettings" Target="../printerSettings/printerSettings224.bin"/><Relationship Id="rId74" Type="http://schemas.openxmlformats.org/officeDocument/2006/relationships/printerSettings" Target="../printerSettings/printerSettings232.bin"/><Relationship Id="rId79" Type="http://schemas.openxmlformats.org/officeDocument/2006/relationships/printerSettings" Target="../printerSettings/printerSettings237.bin"/><Relationship Id="rId5" Type="http://schemas.openxmlformats.org/officeDocument/2006/relationships/printerSettings" Target="../printerSettings/printerSettings163.bin"/><Relationship Id="rId61" Type="http://schemas.openxmlformats.org/officeDocument/2006/relationships/printerSettings" Target="../printerSettings/printerSettings219.bin"/><Relationship Id="rId10" Type="http://schemas.openxmlformats.org/officeDocument/2006/relationships/printerSettings" Target="../printerSettings/printerSettings168.bin"/><Relationship Id="rId19" Type="http://schemas.openxmlformats.org/officeDocument/2006/relationships/printerSettings" Target="../printerSettings/printerSettings177.bin"/><Relationship Id="rId31" Type="http://schemas.openxmlformats.org/officeDocument/2006/relationships/printerSettings" Target="../printerSettings/printerSettings189.bin"/><Relationship Id="rId44" Type="http://schemas.openxmlformats.org/officeDocument/2006/relationships/printerSettings" Target="../printerSettings/printerSettings202.bin"/><Relationship Id="rId52" Type="http://schemas.openxmlformats.org/officeDocument/2006/relationships/printerSettings" Target="../printerSettings/printerSettings210.bin"/><Relationship Id="rId60" Type="http://schemas.openxmlformats.org/officeDocument/2006/relationships/printerSettings" Target="../printerSettings/printerSettings218.bin"/><Relationship Id="rId65" Type="http://schemas.openxmlformats.org/officeDocument/2006/relationships/printerSettings" Target="../printerSettings/printerSettings223.bin"/><Relationship Id="rId73" Type="http://schemas.openxmlformats.org/officeDocument/2006/relationships/printerSettings" Target="../printerSettings/printerSettings231.bin"/><Relationship Id="rId78" Type="http://schemas.openxmlformats.org/officeDocument/2006/relationships/printerSettings" Target="../printerSettings/printerSettings236.bin"/><Relationship Id="rId4" Type="http://schemas.openxmlformats.org/officeDocument/2006/relationships/printerSettings" Target="../printerSettings/printerSettings162.bin"/><Relationship Id="rId9" Type="http://schemas.openxmlformats.org/officeDocument/2006/relationships/printerSettings" Target="../printerSettings/printerSettings167.bin"/><Relationship Id="rId14" Type="http://schemas.openxmlformats.org/officeDocument/2006/relationships/printerSettings" Target="../printerSettings/printerSettings172.bin"/><Relationship Id="rId22" Type="http://schemas.openxmlformats.org/officeDocument/2006/relationships/printerSettings" Target="../printerSettings/printerSettings180.bin"/><Relationship Id="rId27" Type="http://schemas.openxmlformats.org/officeDocument/2006/relationships/printerSettings" Target="../printerSettings/printerSettings185.bin"/><Relationship Id="rId30" Type="http://schemas.openxmlformats.org/officeDocument/2006/relationships/printerSettings" Target="../printerSettings/printerSettings188.bin"/><Relationship Id="rId35" Type="http://schemas.openxmlformats.org/officeDocument/2006/relationships/printerSettings" Target="../printerSettings/printerSettings193.bin"/><Relationship Id="rId43" Type="http://schemas.openxmlformats.org/officeDocument/2006/relationships/printerSettings" Target="../printerSettings/printerSettings201.bin"/><Relationship Id="rId48" Type="http://schemas.openxmlformats.org/officeDocument/2006/relationships/printerSettings" Target="../printerSettings/printerSettings206.bin"/><Relationship Id="rId56" Type="http://schemas.openxmlformats.org/officeDocument/2006/relationships/printerSettings" Target="../printerSettings/printerSettings214.bin"/><Relationship Id="rId64" Type="http://schemas.openxmlformats.org/officeDocument/2006/relationships/printerSettings" Target="../printerSettings/printerSettings222.bin"/><Relationship Id="rId69" Type="http://schemas.openxmlformats.org/officeDocument/2006/relationships/printerSettings" Target="../printerSettings/printerSettings227.bin"/><Relationship Id="rId77" Type="http://schemas.openxmlformats.org/officeDocument/2006/relationships/printerSettings" Target="../printerSettings/printerSettings235.bin"/><Relationship Id="rId8" Type="http://schemas.openxmlformats.org/officeDocument/2006/relationships/printerSettings" Target="../printerSettings/printerSettings166.bin"/><Relationship Id="rId51" Type="http://schemas.openxmlformats.org/officeDocument/2006/relationships/printerSettings" Target="../printerSettings/printerSettings209.bin"/><Relationship Id="rId72" Type="http://schemas.openxmlformats.org/officeDocument/2006/relationships/printerSettings" Target="../printerSettings/printerSettings230.bin"/><Relationship Id="rId3" Type="http://schemas.openxmlformats.org/officeDocument/2006/relationships/printerSettings" Target="../printerSettings/printerSettings161.bin"/><Relationship Id="rId12" Type="http://schemas.openxmlformats.org/officeDocument/2006/relationships/printerSettings" Target="../printerSettings/printerSettings170.bin"/><Relationship Id="rId17" Type="http://schemas.openxmlformats.org/officeDocument/2006/relationships/printerSettings" Target="../printerSettings/printerSettings175.bin"/><Relationship Id="rId25" Type="http://schemas.openxmlformats.org/officeDocument/2006/relationships/printerSettings" Target="../printerSettings/printerSettings183.bin"/><Relationship Id="rId33" Type="http://schemas.openxmlformats.org/officeDocument/2006/relationships/printerSettings" Target="../printerSettings/printerSettings191.bin"/><Relationship Id="rId38" Type="http://schemas.openxmlformats.org/officeDocument/2006/relationships/printerSettings" Target="../printerSettings/printerSettings196.bin"/><Relationship Id="rId46" Type="http://schemas.openxmlformats.org/officeDocument/2006/relationships/printerSettings" Target="../printerSettings/printerSettings204.bin"/><Relationship Id="rId59" Type="http://schemas.openxmlformats.org/officeDocument/2006/relationships/printerSettings" Target="../printerSettings/printerSettings217.bin"/><Relationship Id="rId67" Type="http://schemas.openxmlformats.org/officeDocument/2006/relationships/printerSettings" Target="../printerSettings/printerSettings225.bin"/><Relationship Id="rId20" Type="http://schemas.openxmlformats.org/officeDocument/2006/relationships/printerSettings" Target="../printerSettings/printerSettings178.bin"/><Relationship Id="rId41" Type="http://schemas.openxmlformats.org/officeDocument/2006/relationships/printerSettings" Target="../printerSettings/printerSettings199.bin"/><Relationship Id="rId54" Type="http://schemas.openxmlformats.org/officeDocument/2006/relationships/printerSettings" Target="../printerSettings/printerSettings212.bin"/><Relationship Id="rId62" Type="http://schemas.openxmlformats.org/officeDocument/2006/relationships/printerSettings" Target="../printerSettings/printerSettings220.bin"/><Relationship Id="rId70" Type="http://schemas.openxmlformats.org/officeDocument/2006/relationships/printerSettings" Target="../printerSettings/printerSettings228.bin"/><Relationship Id="rId75" Type="http://schemas.openxmlformats.org/officeDocument/2006/relationships/printerSettings" Target="../printerSettings/printerSettings233.bin"/><Relationship Id="rId1" Type="http://schemas.openxmlformats.org/officeDocument/2006/relationships/printerSettings" Target="../printerSettings/printerSettings159.bin"/><Relationship Id="rId6" Type="http://schemas.openxmlformats.org/officeDocument/2006/relationships/printerSettings" Target="../printerSettings/printerSettings164.bin"/><Relationship Id="rId15" Type="http://schemas.openxmlformats.org/officeDocument/2006/relationships/printerSettings" Target="../printerSettings/printerSettings173.bin"/><Relationship Id="rId23" Type="http://schemas.openxmlformats.org/officeDocument/2006/relationships/printerSettings" Target="../printerSettings/printerSettings181.bin"/><Relationship Id="rId28" Type="http://schemas.openxmlformats.org/officeDocument/2006/relationships/printerSettings" Target="../printerSettings/printerSettings186.bin"/><Relationship Id="rId36" Type="http://schemas.openxmlformats.org/officeDocument/2006/relationships/printerSettings" Target="../printerSettings/printerSettings194.bin"/><Relationship Id="rId49" Type="http://schemas.openxmlformats.org/officeDocument/2006/relationships/printerSettings" Target="../printerSettings/printerSettings207.bin"/><Relationship Id="rId57" Type="http://schemas.openxmlformats.org/officeDocument/2006/relationships/printerSettings" Target="../printerSettings/printerSettings215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250.bin"/><Relationship Id="rId18" Type="http://schemas.openxmlformats.org/officeDocument/2006/relationships/printerSettings" Target="../printerSettings/printerSettings255.bin"/><Relationship Id="rId26" Type="http://schemas.openxmlformats.org/officeDocument/2006/relationships/printerSettings" Target="../printerSettings/printerSettings263.bin"/><Relationship Id="rId39" Type="http://schemas.openxmlformats.org/officeDocument/2006/relationships/printerSettings" Target="../printerSettings/printerSettings276.bin"/><Relationship Id="rId21" Type="http://schemas.openxmlformats.org/officeDocument/2006/relationships/printerSettings" Target="../printerSettings/printerSettings258.bin"/><Relationship Id="rId34" Type="http://schemas.openxmlformats.org/officeDocument/2006/relationships/printerSettings" Target="../printerSettings/printerSettings271.bin"/><Relationship Id="rId42" Type="http://schemas.openxmlformats.org/officeDocument/2006/relationships/printerSettings" Target="../printerSettings/printerSettings279.bin"/><Relationship Id="rId47" Type="http://schemas.openxmlformats.org/officeDocument/2006/relationships/printerSettings" Target="../printerSettings/printerSettings284.bin"/><Relationship Id="rId50" Type="http://schemas.openxmlformats.org/officeDocument/2006/relationships/printerSettings" Target="../printerSettings/printerSettings287.bin"/><Relationship Id="rId55" Type="http://schemas.openxmlformats.org/officeDocument/2006/relationships/printerSettings" Target="../printerSettings/printerSettings292.bin"/><Relationship Id="rId63" Type="http://schemas.openxmlformats.org/officeDocument/2006/relationships/printerSettings" Target="../printerSettings/printerSettings300.bin"/><Relationship Id="rId68" Type="http://schemas.openxmlformats.org/officeDocument/2006/relationships/printerSettings" Target="../printerSettings/printerSettings305.bin"/><Relationship Id="rId76" Type="http://schemas.openxmlformats.org/officeDocument/2006/relationships/printerSettings" Target="../printerSettings/printerSettings313.bin"/><Relationship Id="rId7" Type="http://schemas.openxmlformats.org/officeDocument/2006/relationships/printerSettings" Target="../printerSettings/printerSettings244.bin"/><Relationship Id="rId71" Type="http://schemas.openxmlformats.org/officeDocument/2006/relationships/printerSettings" Target="../printerSettings/printerSettings308.bin"/><Relationship Id="rId2" Type="http://schemas.openxmlformats.org/officeDocument/2006/relationships/printerSettings" Target="../printerSettings/printerSettings239.bin"/><Relationship Id="rId16" Type="http://schemas.openxmlformats.org/officeDocument/2006/relationships/printerSettings" Target="../printerSettings/printerSettings253.bin"/><Relationship Id="rId29" Type="http://schemas.openxmlformats.org/officeDocument/2006/relationships/printerSettings" Target="../printerSettings/printerSettings266.bin"/><Relationship Id="rId11" Type="http://schemas.openxmlformats.org/officeDocument/2006/relationships/printerSettings" Target="../printerSettings/printerSettings248.bin"/><Relationship Id="rId24" Type="http://schemas.openxmlformats.org/officeDocument/2006/relationships/printerSettings" Target="../printerSettings/printerSettings261.bin"/><Relationship Id="rId32" Type="http://schemas.openxmlformats.org/officeDocument/2006/relationships/printerSettings" Target="../printerSettings/printerSettings269.bin"/><Relationship Id="rId37" Type="http://schemas.openxmlformats.org/officeDocument/2006/relationships/printerSettings" Target="../printerSettings/printerSettings274.bin"/><Relationship Id="rId40" Type="http://schemas.openxmlformats.org/officeDocument/2006/relationships/printerSettings" Target="../printerSettings/printerSettings277.bin"/><Relationship Id="rId45" Type="http://schemas.openxmlformats.org/officeDocument/2006/relationships/printerSettings" Target="../printerSettings/printerSettings282.bin"/><Relationship Id="rId53" Type="http://schemas.openxmlformats.org/officeDocument/2006/relationships/printerSettings" Target="../printerSettings/printerSettings290.bin"/><Relationship Id="rId58" Type="http://schemas.openxmlformats.org/officeDocument/2006/relationships/printerSettings" Target="../printerSettings/printerSettings295.bin"/><Relationship Id="rId66" Type="http://schemas.openxmlformats.org/officeDocument/2006/relationships/printerSettings" Target="../printerSettings/printerSettings303.bin"/><Relationship Id="rId74" Type="http://schemas.openxmlformats.org/officeDocument/2006/relationships/printerSettings" Target="../printerSettings/printerSettings311.bin"/><Relationship Id="rId79" Type="http://schemas.openxmlformats.org/officeDocument/2006/relationships/printerSettings" Target="../printerSettings/printerSettings316.bin"/><Relationship Id="rId5" Type="http://schemas.openxmlformats.org/officeDocument/2006/relationships/printerSettings" Target="../printerSettings/printerSettings242.bin"/><Relationship Id="rId61" Type="http://schemas.openxmlformats.org/officeDocument/2006/relationships/printerSettings" Target="../printerSettings/printerSettings298.bin"/><Relationship Id="rId10" Type="http://schemas.openxmlformats.org/officeDocument/2006/relationships/printerSettings" Target="../printerSettings/printerSettings247.bin"/><Relationship Id="rId19" Type="http://schemas.openxmlformats.org/officeDocument/2006/relationships/printerSettings" Target="../printerSettings/printerSettings256.bin"/><Relationship Id="rId31" Type="http://schemas.openxmlformats.org/officeDocument/2006/relationships/printerSettings" Target="../printerSettings/printerSettings268.bin"/><Relationship Id="rId44" Type="http://schemas.openxmlformats.org/officeDocument/2006/relationships/printerSettings" Target="../printerSettings/printerSettings281.bin"/><Relationship Id="rId52" Type="http://schemas.openxmlformats.org/officeDocument/2006/relationships/printerSettings" Target="../printerSettings/printerSettings289.bin"/><Relationship Id="rId60" Type="http://schemas.openxmlformats.org/officeDocument/2006/relationships/printerSettings" Target="../printerSettings/printerSettings297.bin"/><Relationship Id="rId65" Type="http://schemas.openxmlformats.org/officeDocument/2006/relationships/printerSettings" Target="../printerSettings/printerSettings302.bin"/><Relationship Id="rId73" Type="http://schemas.openxmlformats.org/officeDocument/2006/relationships/printerSettings" Target="../printerSettings/printerSettings310.bin"/><Relationship Id="rId78" Type="http://schemas.openxmlformats.org/officeDocument/2006/relationships/printerSettings" Target="../printerSettings/printerSettings315.bin"/><Relationship Id="rId4" Type="http://schemas.openxmlformats.org/officeDocument/2006/relationships/printerSettings" Target="../printerSettings/printerSettings241.bin"/><Relationship Id="rId9" Type="http://schemas.openxmlformats.org/officeDocument/2006/relationships/printerSettings" Target="../printerSettings/printerSettings246.bin"/><Relationship Id="rId14" Type="http://schemas.openxmlformats.org/officeDocument/2006/relationships/printerSettings" Target="../printerSettings/printerSettings251.bin"/><Relationship Id="rId22" Type="http://schemas.openxmlformats.org/officeDocument/2006/relationships/printerSettings" Target="../printerSettings/printerSettings259.bin"/><Relationship Id="rId27" Type="http://schemas.openxmlformats.org/officeDocument/2006/relationships/printerSettings" Target="../printerSettings/printerSettings264.bin"/><Relationship Id="rId30" Type="http://schemas.openxmlformats.org/officeDocument/2006/relationships/printerSettings" Target="../printerSettings/printerSettings267.bin"/><Relationship Id="rId35" Type="http://schemas.openxmlformats.org/officeDocument/2006/relationships/printerSettings" Target="../printerSettings/printerSettings272.bin"/><Relationship Id="rId43" Type="http://schemas.openxmlformats.org/officeDocument/2006/relationships/printerSettings" Target="../printerSettings/printerSettings280.bin"/><Relationship Id="rId48" Type="http://schemas.openxmlformats.org/officeDocument/2006/relationships/printerSettings" Target="../printerSettings/printerSettings285.bin"/><Relationship Id="rId56" Type="http://schemas.openxmlformats.org/officeDocument/2006/relationships/printerSettings" Target="../printerSettings/printerSettings293.bin"/><Relationship Id="rId64" Type="http://schemas.openxmlformats.org/officeDocument/2006/relationships/printerSettings" Target="../printerSettings/printerSettings301.bin"/><Relationship Id="rId69" Type="http://schemas.openxmlformats.org/officeDocument/2006/relationships/printerSettings" Target="../printerSettings/printerSettings306.bin"/><Relationship Id="rId77" Type="http://schemas.openxmlformats.org/officeDocument/2006/relationships/printerSettings" Target="../printerSettings/printerSettings314.bin"/><Relationship Id="rId8" Type="http://schemas.openxmlformats.org/officeDocument/2006/relationships/printerSettings" Target="../printerSettings/printerSettings245.bin"/><Relationship Id="rId51" Type="http://schemas.openxmlformats.org/officeDocument/2006/relationships/printerSettings" Target="../printerSettings/printerSettings288.bin"/><Relationship Id="rId72" Type="http://schemas.openxmlformats.org/officeDocument/2006/relationships/printerSettings" Target="../printerSettings/printerSettings309.bin"/><Relationship Id="rId3" Type="http://schemas.openxmlformats.org/officeDocument/2006/relationships/printerSettings" Target="../printerSettings/printerSettings240.bin"/><Relationship Id="rId12" Type="http://schemas.openxmlformats.org/officeDocument/2006/relationships/printerSettings" Target="../printerSettings/printerSettings249.bin"/><Relationship Id="rId17" Type="http://schemas.openxmlformats.org/officeDocument/2006/relationships/printerSettings" Target="../printerSettings/printerSettings254.bin"/><Relationship Id="rId25" Type="http://schemas.openxmlformats.org/officeDocument/2006/relationships/printerSettings" Target="../printerSettings/printerSettings262.bin"/><Relationship Id="rId33" Type="http://schemas.openxmlformats.org/officeDocument/2006/relationships/printerSettings" Target="../printerSettings/printerSettings270.bin"/><Relationship Id="rId38" Type="http://schemas.openxmlformats.org/officeDocument/2006/relationships/printerSettings" Target="../printerSettings/printerSettings275.bin"/><Relationship Id="rId46" Type="http://schemas.openxmlformats.org/officeDocument/2006/relationships/printerSettings" Target="../printerSettings/printerSettings283.bin"/><Relationship Id="rId59" Type="http://schemas.openxmlformats.org/officeDocument/2006/relationships/printerSettings" Target="../printerSettings/printerSettings296.bin"/><Relationship Id="rId67" Type="http://schemas.openxmlformats.org/officeDocument/2006/relationships/printerSettings" Target="../printerSettings/printerSettings304.bin"/><Relationship Id="rId20" Type="http://schemas.openxmlformats.org/officeDocument/2006/relationships/printerSettings" Target="../printerSettings/printerSettings257.bin"/><Relationship Id="rId41" Type="http://schemas.openxmlformats.org/officeDocument/2006/relationships/printerSettings" Target="../printerSettings/printerSettings278.bin"/><Relationship Id="rId54" Type="http://schemas.openxmlformats.org/officeDocument/2006/relationships/printerSettings" Target="../printerSettings/printerSettings291.bin"/><Relationship Id="rId62" Type="http://schemas.openxmlformats.org/officeDocument/2006/relationships/printerSettings" Target="../printerSettings/printerSettings299.bin"/><Relationship Id="rId70" Type="http://schemas.openxmlformats.org/officeDocument/2006/relationships/printerSettings" Target="../printerSettings/printerSettings307.bin"/><Relationship Id="rId75" Type="http://schemas.openxmlformats.org/officeDocument/2006/relationships/printerSettings" Target="../printerSettings/printerSettings312.bin"/><Relationship Id="rId1" Type="http://schemas.openxmlformats.org/officeDocument/2006/relationships/printerSettings" Target="../printerSettings/printerSettings238.bin"/><Relationship Id="rId6" Type="http://schemas.openxmlformats.org/officeDocument/2006/relationships/printerSettings" Target="../printerSettings/printerSettings243.bin"/><Relationship Id="rId15" Type="http://schemas.openxmlformats.org/officeDocument/2006/relationships/printerSettings" Target="../printerSettings/printerSettings252.bin"/><Relationship Id="rId23" Type="http://schemas.openxmlformats.org/officeDocument/2006/relationships/printerSettings" Target="../printerSettings/printerSettings260.bin"/><Relationship Id="rId28" Type="http://schemas.openxmlformats.org/officeDocument/2006/relationships/printerSettings" Target="../printerSettings/printerSettings265.bin"/><Relationship Id="rId36" Type="http://schemas.openxmlformats.org/officeDocument/2006/relationships/printerSettings" Target="../printerSettings/printerSettings273.bin"/><Relationship Id="rId49" Type="http://schemas.openxmlformats.org/officeDocument/2006/relationships/printerSettings" Target="../printerSettings/printerSettings286.bin"/><Relationship Id="rId57" Type="http://schemas.openxmlformats.org/officeDocument/2006/relationships/printerSettings" Target="../printerSettings/printerSettings294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329.bin"/><Relationship Id="rId18" Type="http://schemas.openxmlformats.org/officeDocument/2006/relationships/printerSettings" Target="../printerSettings/printerSettings334.bin"/><Relationship Id="rId26" Type="http://schemas.openxmlformats.org/officeDocument/2006/relationships/printerSettings" Target="../printerSettings/printerSettings342.bin"/><Relationship Id="rId39" Type="http://schemas.openxmlformats.org/officeDocument/2006/relationships/printerSettings" Target="../printerSettings/printerSettings355.bin"/><Relationship Id="rId21" Type="http://schemas.openxmlformats.org/officeDocument/2006/relationships/printerSettings" Target="../printerSettings/printerSettings337.bin"/><Relationship Id="rId34" Type="http://schemas.openxmlformats.org/officeDocument/2006/relationships/printerSettings" Target="../printerSettings/printerSettings350.bin"/><Relationship Id="rId42" Type="http://schemas.openxmlformats.org/officeDocument/2006/relationships/printerSettings" Target="../printerSettings/printerSettings358.bin"/><Relationship Id="rId47" Type="http://schemas.openxmlformats.org/officeDocument/2006/relationships/printerSettings" Target="../printerSettings/printerSettings363.bin"/><Relationship Id="rId50" Type="http://schemas.openxmlformats.org/officeDocument/2006/relationships/printerSettings" Target="../printerSettings/printerSettings366.bin"/><Relationship Id="rId55" Type="http://schemas.openxmlformats.org/officeDocument/2006/relationships/printerSettings" Target="../printerSettings/printerSettings371.bin"/><Relationship Id="rId63" Type="http://schemas.openxmlformats.org/officeDocument/2006/relationships/printerSettings" Target="../printerSettings/printerSettings379.bin"/><Relationship Id="rId68" Type="http://schemas.openxmlformats.org/officeDocument/2006/relationships/printerSettings" Target="../printerSettings/printerSettings384.bin"/><Relationship Id="rId76" Type="http://schemas.openxmlformats.org/officeDocument/2006/relationships/printerSettings" Target="../printerSettings/printerSettings392.bin"/><Relationship Id="rId7" Type="http://schemas.openxmlformats.org/officeDocument/2006/relationships/printerSettings" Target="../printerSettings/printerSettings323.bin"/><Relationship Id="rId71" Type="http://schemas.openxmlformats.org/officeDocument/2006/relationships/printerSettings" Target="../printerSettings/printerSettings387.bin"/><Relationship Id="rId2" Type="http://schemas.openxmlformats.org/officeDocument/2006/relationships/printerSettings" Target="../printerSettings/printerSettings318.bin"/><Relationship Id="rId16" Type="http://schemas.openxmlformats.org/officeDocument/2006/relationships/printerSettings" Target="../printerSettings/printerSettings332.bin"/><Relationship Id="rId29" Type="http://schemas.openxmlformats.org/officeDocument/2006/relationships/printerSettings" Target="../printerSettings/printerSettings345.bin"/><Relationship Id="rId11" Type="http://schemas.openxmlformats.org/officeDocument/2006/relationships/printerSettings" Target="../printerSettings/printerSettings327.bin"/><Relationship Id="rId24" Type="http://schemas.openxmlformats.org/officeDocument/2006/relationships/printerSettings" Target="../printerSettings/printerSettings340.bin"/><Relationship Id="rId32" Type="http://schemas.openxmlformats.org/officeDocument/2006/relationships/printerSettings" Target="../printerSettings/printerSettings348.bin"/><Relationship Id="rId37" Type="http://schemas.openxmlformats.org/officeDocument/2006/relationships/printerSettings" Target="../printerSettings/printerSettings353.bin"/><Relationship Id="rId40" Type="http://schemas.openxmlformats.org/officeDocument/2006/relationships/printerSettings" Target="../printerSettings/printerSettings356.bin"/><Relationship Id="rId45" Type="http://schemas.openxmlformats.org/officeDocument/2006/relationships/printerSettings" Target="../printerSettings/printerSettings361.bin"/><Relationship Id="rId53" Type="http://schemas.openxmlformats.org/officeDocument/2006/relationships/printerSettings" Target="../printerSettings/printerSettings369.bin"/><Relationship Id="rId58" Type="http://schemas.openxmlformats.org/officeDocument/2006/relationships/printerSettings" Target="../printerSettings/printerSettings374.bin"/><Relationship Id="rId66" Type="http://schemas.openxmlformats.org/officeDocument/2006/relationships/printerSettings" Target="../printerSettings/printerSettings382.bin"/><Relationship Id="rId74" Type="http://schemas.openxmlformats.org/officeDocument/2006/relationships/printerSettings" Target="../printerSettings/printerSettings390.bin"/><Relationship Id="rId79" Type="http://schemas.openxmlformats.org/officeDocument/2006/relationships/printerSettings" Target="../printerSettings/printerSettings395.bin"/><Relationship Id="rId5" Type="http://schemas.openxmlformats.org/officeDocument/2006/relationships/printerSettings" Target="../printerSettings/printerSettings321.bin"/><Relationship Id="rId61" Type="http://schemas.openxmlformats.org/officeDocument/2006/relationships/printerSettings" Target="../printerSettings/printerSettings377.bin"/><Relationship Id="rId10" Type="http://schemas.openxmlformats.org/officeDocument/2006/relationships/printerSettings" Target="../printerSettings/printerSettings326.bin"/><Relationship Id="rId19" Type="http://schemas.openxmlformats.org/officeDocument/2006/relationships/printerSettings" Target="../printerSettings/printerSettings335.bin"/><Relationship Id="rId31" Type="http://schemas.openxmlformats.org/officeDocument/2006/relationships/printerSettings" Target="../printerSettings/printerSettings347.bin"/><Relationship Id="rId44" Type="http://schemas.openxmlformats.org/officeDocument/2006/relationships/printerSettings" Target="../printerSettings/printerSettings360.bin"/><Relationship Id="rId52" Type="http://schemas.openxmlformats.org/officeDocument/2006/relationships/printerSettings" Target="../printerSettings/printerSettings368.bin"/><Relationship Id="rId60" Type="http://schemas.openxmlformats.org/officeDocument/2006/relationships/printerSettings" Target="../printerSettings/printerSettings376.bin"/><Relationship Id="rId65" Type="http://schemas.openxmlformats.org/officeDocument/2006/relationships/printerSettings" Target="../printerSettings/printerSettings381.bin"/><Relationship Id="rId73" Type="http://schemas.openxmlformats.org/officeDocument/2006/relationships/printerSettings" Target="../printerSettings/printerSettings389.bin"/><Relationship Id="rId78" Type="http://schemas.openxmlformats.org/officeDocument/2006/relationships/printerSettings" Target="../printerSettings/printerSettings394.bin"/><Relationship Id="rId4" Type="http://schemas.openxmlformats.org/officeDocument/2006/relationships/printerSettings" Target="../printerSettings/printerSettings320.bin"/><Relationship Id="rId9" Type="http://schemas.openxmlformats.org/officeDocument/2006/relationships/printerSettings" Target="../printerSettings/printerSettings325.bin"/><Relationship Id="rId14" Type="http://schemas.openxmlformats.org/officeDocument/2006/relationships/printerSettings" Target="../printerSettings/printerSettings330.bin"/><Relationship Id="rId22" Type="http://schemas.openxmlformats.org/officeDocument/2006/relationships/printerSettings" Target="../printerSettings/printerSettings338.bin"/><Relationship Id="rId27" Type="http://schemas.openxmlformats.org/officeDocument/2006/relationships/printerSettings" Target="../printerSettings/printerSettings343.bin"/><Relationship Id="rId30" Type="http://schemas.openxmlformats.org/officeDocument/2006/relationships/printerSettings" Target="../printerSettings/printerSettings346.bin"/><Relationship Id="rId35" Type="http://schemas.openxmlformats.org/officeDocument/2006/relationships/printerSettings" Target="../printerSettings/printerSettings351.bin"/><Relationship Id="rId43" Type="http://schemas.openxmlformats.org/officeDocument/2006/relationships/printerSettings" Target="../printerSettings/printerSettings359.bin"/><Relationship Id="rId48" Type="http://schemas.openxmlformats.org/officeDocument/2006/relationships/printerSettings" Target="../printerSettings/printerSettings364.bin"/><Relationship Id="rId56" Type="http://schemas.openxmlformats.org/officeDocument/2006/relationships/printerSettings" Target="../printerSettings/printerSettings372.bin"/><Relationship Id="rId64" Type="http://schemas.openxmlformats.org/officeDocument/2006/relationships/printerSettings" Target="../printerSettings/printerSettings380.bin"/><Relationship Id="rId69" Type="http://schemas.openxmlformats.org/officeDocument/2006/relationships/printerSettings" Target="../printerSettings/printerSettings385.bin"/><Relationship Id="rId77" Type="http://schemas.openxmlformats.org/officeDocument/2006/relationships/printerSettings" Target="../printerSettings/printerSettings393.bin"/><Relationship Id="rId8" Type="http://schemas.openxmlformats.org/officeDocument/2006/relationships/printerSettings" Target="../printerSettings/printerSettings324.bin"/><Relationship Id="rId51" Type="http://schemas.openxmlformats.org/officeDocument/2006/relationships/printerSettings" Target="../printerSettings/printerSettings367.bin"/><Relationship Id="rId72" Type="http://schemas.openxmlformats.org/officeDocument/2006/relationships/printerSettings" Target="../printerSettings/printerSettings388.bin"/><Relationship Id="rId3" Type="http://schemas.openxmlformats.org/officeDocument/2006/relationships/printerSettings" Target="../printerSettings/printerSettings319.bin"/><Relationship Id="rId12" Type="http://schemas.openxmlformats.org/officeDocument/2006/relationships/printerSettings" Target="../printerSettings/printerSettings328.bin"/><Relationship Id="rId17" Type="http://schemas.openxmlformats.org/officeDocument/2006/relationships/printerSettings" Target="../printerSettings/printerSettings333.bin"/><Relationship Id="rId25" Type="http://schemas.openxmlformats.org/officeDocument/2006/relationships/printerSettings" Target="../printerSettings/printerSettings341.bin"/><Relationship Id="rId33" Type="http://schemas.openxmlformats.org/officeDocument/2006/relationships/printerSettings" Target="../printerSettings/printerSettings349.bin"/><Relationship Id="rId38" Type="http://schemas.openxmlformats.org/officeDocument/2006/relationships/printerSettings" Target="../printerSettings/printerSettings354.bin"/><Relationship Id="rId46" Type="http://schemas.openxmlformats.org/officeDocument/2006/relationships/printerSettings" Target="../printerSettings/printerSettings362.bin"/><Relationship Id="rId59" Type="http://schemas.openxmlformats.org/officeDocument/2006/relationships/printerSettings" Target="../printerSettings/printerSettings375.bin"/><Relationship Id="rId67" Type="http://schemas.openxmlformats.org/officeDocument/2006/relationships/printerSettings" Target="../printerSettings/printerSettings383.bin"/><Relationship Id="rId20" Type="http://schemas.openxmlformats.org/officeDocument/2006/relationships/printerSettings" Target="../printerSettings/printerSettings336.bin"/><Relationship Id="rId41" Type="http://schemas.openxmlformats.org/officeDocument/2006/relationships/printerSettings" Target="../printerSettings/printerSettings357.bin"/><Relationship Id="rId54" Type="http://schemas.openxmlformats.org/officeDocument/2006/relationships/printerSettings" Target="../printerSettings/printerSettings370.bin"/><Relationship Id="rId62" Type="http://schemas.openxmlformats.org/officeDocument/2006/relationships/printerSettings" Target="../printerSettings/printerSettings378.bin"/><Relationship Id="rId70" Type="http://schemas.openxmlformats.org/officeDocument/2006/relationships/printerSettings" Target="../printerSettings/printerSettings386.bin"/><Relationship Id="rId75" Type="http://schemas.openxmlformats.org/officeDocument/2006/relationships/printerSettings" Target="../printerSettings/printerSettings391.bin"/><Relationship Id="rId1" Type="http://schemas.openxmlformats.org/officeDocument/2006/relationships/printerSettings" Target="../printerSettings/printerSettings317.bin"/><Relationship Id="rId6" Type="http://schemas.openxmlformats.org/officeDocument/2006/relationships/printerSettings" Target="../printerSettings/printerSettings322.bin"/><Relationship Id="rId15" Type="http://schemas.openxmlformats.org/officeDocument/2006/relationships/printerSettings" Target="../printerSettings/printerSettings331.bin"/><Relationship Id="rId23" Type="http://schemas.openxmlformats.org/officeDocument/2006/relationships/printerSettings" Target="../printerSettings/printerSettings339.bin"/><Relationship Id="rId28" Type="http://schemas.openxmlformats.org/officeDocument/2006/relationships/printerSettings" Target="../printerSettings/printerSettings344.bin"/><Relationship Id="rId36" Type="http://schemas.openxmlformats.org/officeDocument/2006/relationships/printerSettings" Target="../printerSettings/printerSettings352.bin"/><Relationship Id="rId49" Type="http://schemas.openxmlformats.org/officeDocument/2006/relationships/printerSettings" Target="../printerSettings/printerSettings365.bin"/><Relationship Id="rId57" Type="http://schemas.openxmlformats.org/officeDocument/2006/relationships/printerSettings" Target="../printerSettings/printerSettings373.bin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408.bin"/><Relationship Id="rId18" Type="http://schemas.openxmlformats.org/officeDocument/2006/relationships/printerSettings" Target="../printerSettings/printerSettings413.bin"/><Relationship Id="rId26" Type="http://schemas.openxmlformats.org/officeDocument/2006/relationships/printerSettings" Target="../printerSettings/printerSettings421.bin"/><Relationship Id="rId39" Type="http://schemas.openxmlformats.org/officeDocument/2006/relationships/printerSettings" Target="../printerSettings/printerSettings434.bin"/><Relationship Id="rId21" Type="http://schemas.openxmlformats.org/officeDocument/2006/relationships/printerSettings" Target="../printerSettings/printerSettings416.bin"/><Relationship Id="rId34" Type="http://schemas.openxmlformats.org/officeDocument/2006/relationships/printerSettings" Target="../printerSettings/printerSettings429.bin"/><Relationship Id="rId42" Type="http://schemas.openxmlformats.org/officeDocument/2006/relationships/printerSettings" Target="../printerSettings/printerSettings437.bin"/><Relationship Id="rId47" Type="http://schemas.openxmlformats.org/officeDocument/2006/relationships/printerSettings" Target="../printerSettings/printerSettings442.bin"/><Relationship Id="rId50" Type="http://schemas.openxmlformats.org/officeDocument/2006/relationships/printerSettings" Target="../printerSettings/printerSettings445.bin"/><Relationship Id="rId55" Type="http://schemas.openxmlformats.org/officeDocument/2006/relationships/printerSettings" Target="../printerSettings/printerSettings450.bin"/><Relationship Id="rId63" Type="http://schemas.openxmlformats.org/officeDocument/2006/relationships/printerSettings" Target="../printerSettings/printerSettings458.bin"/><Relationship Id="rId68" Type="http://schemas.openxmlformats.org/officeDocument/2006/relationships/printerSettings" Target="../printerSettings/printerSettings463.bin"/><Relationship Id="rId76" Type="http://schemas.openxmlformats.org/officeDocument/2006/relationships/printerSettings" Target="../printerSettings/printerSettings471.bin"/><Relationship Id="rId7" Type="http://schemas.openxmlformats.org/officeDocument/2006/relationships/printerSettings" Target="../printerSettings/printerSettings402.bin"/><Relationship Id="rId71" Type="http://schemas.openxmlformats.org/officeDocument/2006/relationships/printerSettings" Target="../printerSettings/printerSettings466.bin"/><Relationship Id="rId2" Type="http://schemas.openxmlformats.org/officeDocument/2006/relationships/printerSettings" Target="../printerSettings/printerSettings397.bin"/><Relationship Id="rId16" Type="http://schemas.openxmlformats.org/officeDocument/2006/relationships/printerSettings" Target="../printerSettings/printerSettings411.bin"/><Relationship Id="rId29" Type="http://schemas.openxmlformats.org/officeDocument/2006/relationships/printerSettings" Target="../printerSettings/printerSettings424.bin"/><Relationship Id="rId11" Type="http://schemas.openxmlformats.org/officeDocument/2006/relationships/printerSettings" Target="../printerSettings/printerSettings406.bin"/><Relationship Id="rId24" Type="http://schemas.openxmlformats.org/officeDocument/2006/relationships/printerSettings" Target="../printerSettings/printerSettings419.bin"/><Relationship Id="rId32" Type="http://schemas.openxmlformats.org/officeDocument/2006/relationships/printerSettings" Target="../printerSettings/printerSettings427.bin"/><Relationship Id="rId37" Type="http://schemas.openxmlformats.org/officeDocument/2006/relationships/printerSettings" Target="../printerSettings/printerSettings432.bin"/><Relationship Id="rId40" Type="http://schemas.openxmlformats.org/officeDocument/2006/relationships/printerSettings" Target="../printerSettings/printerSettings435.bin"/><Relationship Id="rId45" Type="http://schemas.openxmlformats.org/officeDocument/2006/relationships/printerSettings" Target="../printerSettings/printerSettings440.bin"/><Relationship Id="rId53" Type="http://schemas.openxmlformats.org/officeDocument/2006/relationships/printerSettings" Target="../printerSettings/printerSettings448.bin"/><Relationship Id="rId58" Type="http://schemas.openxmlformats.org/officeDocument/2006/relationships/printerSettings" Target="../printerSettings/printerSettings453.bin"/><Relationship Id="rId66" Type="http://schemas.openxmlformats.org/officeDocument/2006/relationships/printerSettings" Target="../printerSettings/printerSettings461.bin"/><Relationship Id="rId74" Type="http://schemas.openxmlformats.org/officeDocument/2006/relationships/printerSettings" Target="../printerSettings/printerSettings469.bin"/><Relationship Id="rId79" Type="http://schemas.openxmlformats.org/officeDocument/2006/relationships/printerSettings" Target="../printerSettings/printerSettings474.bin"/><Relationship Id="rId5" Type="http://schemas.openxmlformats.org/officeDocument/2006/relationships/printerSettings" Target="../printerSettings/printerSettings400.bin"/><Relationship Id="rId61" Type="http://schemas.openxmlformats.org/officeDocument/2006/relationships/printerSettings" Target="../printerSettings/printerSettings456.bin"/><Relationship Id="rId10" Type="http://schemas.openxmlformats.org/officeDocument/2006/relationships/printerSettings" Target="../printerSettings/printerSettings405.bin"/><Relationship Id="rId19" Type="http://schemas.openxmlformats.org/officeDocument/2006/relationships/printerSettings" Target="../printerSettings/printerSettings414.bin"/><Relationship Id="rId31" Type="http://schemas.openxmlformats.org/officeDocument/2006/relationships/printerSettings" Target="../printerSettings/printerSettings426.bin"/><Relationship Id="rId44" Type="http://schemas.openxmlformats.org/officeDocument/2006/relationships/printerSettings" Target="../printerSettings/printerSettings439.bin"/><Relationship Id="rId52" Type="http://schemas.openxmlformats.org/officeDocument/2006/relationships/printerSettings" Target="../printerSettings/printerSettings447.bin"/><Relationship Id="rId60" Type="http://schemas.openxmlformats.org/officeDocument/2006/relationships/printerSettings" Target="../printerSettings/printerSettings455.bin"/><Relationship Id="rId65" Type="http://schemas.openxmlformats.org/officeDocument/2006/relationships/printerSettings" Target="../printerSettings/printerSettings460.bin"/><Relationship Id="rId73" Type="http://schemas.openxmlformats.org/officeDocument/2006/relationships/printerSettings" Target="../printerSettings/printerSettings468.bin"/><Relationship Id="rId78" Type="http://schemas.openxmlformats.org/officeDocument/2006/relationships/printerSettings" Target="../printerSettings/printerSettings473.bin"/><Relationship Id="rId4" Type="http://schemas.openxmlformats.org/officeDocument/2006/relationships/printerSettings" Target="../printerSettings/printerSettings399.bin"/><Relationship Id="rId9" Type="http://schemas.openxmlformats.org/officeDocument/2006/relationships/printerSettings" Target="../printerSettings/printerSettings404.bin"/><Relationship Id="rId14" Type="http://schemas.openxmlformats.org/officeDocument/2006/relationships/printerSettings" Target="../printerSettings/printerSettings409.bin"/><Relationship Id="rId22" Type="http://schemas.openxmlformats.org/officeDocument/2006/relationships/printerSettings" Target="../printerSettings/printerSettings417.bin"/><Relationship Id="rId27" Type="http://schemas.openxmlformats.org/officeDocument/2006/relationships/printerSettings" Target="../printerSettings/printerSettings422.bin"/><Relationship Id="rId30" Type="http://schemas.openxmlformats.org/officeDocument/2006/relationships/printerSettings" Target="../printerSettings/printerSettings425.bin"/><Relationship Id="rId35" Type="http://schemas.openxmlformats.org/officeDocument/2006/relationships/printerSettings" Target="../printerSettings/printerSettings430.bin"/><Relationship Id="rId43" Type="http://schemas.openxmlformats.org/officeDocument/2006/relationships/printerSettings" Target="../printerSettings/printerSettings438.bin"/><Relationship Id="rId48" Type="http://schemas.openxmlformats.org/officeDocument/2006/relationships/printerSettings" Target="../printerSettings/printerSettings443.bin"/><Relationship Id="rId56" Type="http://schemas.openxmlformats.org/officeDocument/2006/relationships/printerSettings" Target="../printerSettings/printerSettings451.bin"/><Relationship Id="rId64" Type="http://schemas.openxmlformats.org/officeDocument/2006/relationships/printerSettings" Target="../printerSettings/printerSettings459.bin"/><Relationship Id="rId69" Type="http://schemas.openxmlformats.org/officeDocument/2006/relationships/printerSettings" Target="../printerSettings/printerSettings464.bin"/><Relationship Id="rId77" Type="http://schemas.openxmlformats.org/officeDocument/2006/relationships/printerSettings" Target="../printerSettings/printerSettings472.bin"/><Relationship Id="rId8" Type="http://schemas.openxmlformats.org/officeDocument/2006/relationships/printerSettings" Target="../printerSettings/printerSettings403.bin"/><Relationship Id="rId51" Type="http://schemas.openxmlformats.org/officeDocument/2006/relationships/printerSettings" Target="../printerSettings/printerSettings446.bin"/><Relationship Id="rId72" Type="http://schemas.openxmlformats.org/officeDocument/2006/relationships/printerSettings" Target="../printerSettings/printerSettings467.bin"/><Relationship Id="rId3" Type="http://schemas.openxmlformats.org/officeDocument/2006/relationships/printerSettings" Target="../printerSettings/printerSettings398.bin"/><Relationship Id="rId12" Type="http://schemas.openxmlformats.org/officeDocument/2006/relationships/printerSettings" Target="../printerSettings/printerSettings407.bin"/><Relationship Id="rId17" Type="http://schemas.openxmlformats.org/officeDocument/2006/relationships/printerSettings" Target="../printerSettings/printerSettings412.bin"/><Relationship Id="rId25" Type="http://schemas.openxmlformats.org/officeDocument/2006/relationships/printerSettings" Target="../printerSettings/printerSettings420.bin"/><Relationship Id="rId33" Type="http://schemas.openxmlformats.org/officeDocument/2006/relationships/printerSettings" Target="../printerSettings/printerSettings428.bin"/><Relationship Id="rId38" Type="http://schemas.openxmlformats.org/officeDocument/2006/relationships/printerSettings" Target="../printerSettings/printerSettings433.bin"/><Relationship Id="rId46" Type="http://schemas.openxmlformats.org/officeDocument/2006/relationships/printerSettings" Target="../printerSettings/printerSettings441.bin"/><Relationship Id="rId59" Type="http://schemas.openxmlformats.org/officeDocument/2006/relationships/printerSettings" Target="../printerSettings/printerSettings454.bin"/><Relationship Id="rId67" Type="http://schemas.openxmlformats.org/officeDocument/2006/relationships/printerSettings" Target="../printerSettings/printerSettings462.bin"/><Relationship Id="rId20" Type="http://schemas.openxmlformats.org/officeDocument/2006/relationships/printerSettings" Target="../printerSettings/printerSettings415.bin"/><Relationship Id="rId41" Type="http://schemas.openxmlformats.org/officeDocument/2006/relationships/printerSettings" Target="../printerSettings/printerSettings436.bin"/><Relationship Id="rId54" Type="http://schemas.openxmlformats.org/officeDocument/2006/relationships/printerSettings" Target="../printerSettings/printerSettings449.bin"/><Relationship Id="rId62" Type="http://schemas.openxmlformats.org/officeDocument/2006/relationships/printerSettings" Target="../printerSettings/printerSettings457.bin"/><Relationship Id="rId70" Type="http://schemas.openxmlformats.org/officeDocument/2006/relationships/printerSettings" Target="../printerSettings/printerSettings465.bin"/><Relationship Id="rId75" Type="http://schemas.openxmlformats.org/officeDocument/2006/relationships/printerSettings" Target="../printerSettings/printerSettings470.bin"/><Relationship Id="rId1" Type="http://schemas.openxmlformats.org/officeDocument/2006/relationships/printerSettings" Target="../printerSettings/printerSettings396.bin"/><Relationship Id="rId6" Type="http://schemas.openxmlformats.org/officeDocument/2006/relationships/printerSettings" Target="../printerSettings/printerSettings401.bin"/><Relationship Id="rId15" Type="http://schemas.openxmlformats.org/officeDocument/2006/relationships/printerSettings" Target="../printerSettings/printerSettings410.bin"/><Relationship Id="rId23" Type="http://schemas.openxmlformats.org/officeDocument/2006/relationships/printerSettings" Target="../printerSettings/printerSettings418.bin"/><Relationship Id="rId28" Type="http://schemas.openxmlformats.org/officeDocument/2006/relationships/printerSettings" Target="../printerSettings/printerSettings423.bin"/><Relationship Id="rId36" Type="http://schemas.openxmlformats.org/officeDocument/2006/relationships/printerSettings" Target="../printerSettings/printerSettings431.bin"/><Relationship Id="rId49" Type="http://schemas.openxmlformats.org/officeDocument/2006/relationships/printerSettings" Target="../printerSettings/printerSettings444.bin"/><Relationship Id="rId57" Type="http://schemas.openxmlformats.org/officeDocument/2006/relationships/printerSettings" Target="../printerSettings/printerSettings452.bin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printerSettings" Target="../printerSettings/printerSettings487.bin"/><Relationship Id="rId18" Type="http://schemas.openxmlformats.org/officeDocument/2006/relationships/printerSettings" Target="../printerSettings/printerSettings492.bin"/><Relationship Id="rId26" Type="http://schemas.openxmlformats.org/officeDocument/2006/relationships/printerSettings" Target="../printerSettings/printerSettings500.bin"/><Relationship Id="rId39" Type="http://schemas.openxmlformats.org/officeDocument/2006/relationships/printerSettings" Target="../printerSettings/printerSettings513.bin"/><Relationship Id="rId21" Type="http://schemas.openxmlformats.org/officeDocument/2006/relationships/printerSettings" Target="../printerSettings/printerSettings495.bin"/><Relationship Id="rId34" Type="http://schemas.openxmlformats.org/officeDocument/2006/relationships/printerSettings" Target="../printerSettings/printerSettings508.bin"/><Relationship Id="rId42" Type="http://schemas.openxmlformats.org/officeDocument/2006/relationships/printerSettings" Target="../printerSettings/printerSettings516.bin"/><Relationship Id="rId47" Type="http://schemas.openxmlformats.org/officeDocument/2006/relationships/printerSettings" Target="../printerSettings/printerSettings521.bin"/><Relationship Id="rId50" Type="http://schemas.openxmlformats.org/officeDocument/2006/relationships/printerSettings" Target="../printerSettings/printerSettings524.bin"/><Relationship Id="rId55" Type="http://schemas.openxmlformats.org/officeDocument/2006/relationships/printerSettings" Target="../printerSettings/printerSettings529.bin"/><Relationship Id="rId63" Type="http://schemas.openxmlformats.org/officeDocument/2006/relationships/printerSettings" Target="../printerSettings/printerSettings537.bin"/><Relationship Id="rId68" Type="http://schemas.openxmlformats.org/officeDocument/2006/relationships/printerSettings" Target="../printerSettings/printerSettings542.bin"/><Relationship Id="rId76" Type="http://schemas.openxmlformats.org/officeDocument/2006/relationships/printerSettings" Target="../printerSettings/printerSettings550.bin"/><Relationship Id="rId7" Type="http://schemas.openxmlformats.org/officeDocument/2006/relationships/printerSettings" Target="../printerSettings/printerSettings481.bin"/><Relationship Id="rId71" Type="http://schemas.openxmlformats.org/officeDocument/2006/relationships/printerSettings" Target="../printerSettings/printerSettings545.bin"/><Relationship Id="rId2" Type="http://schemas.openxmlformats.org/officeDocument/2006/relationships/printerSettings" Target="../printerSettings/printerSettings476.bin"/><Relationship Id="rId16" Type="http://schemas.openxmlformats.org/officeDocument/2006/relationships/printerSettings" Target="../printerSettings/printerSettings490.bin"/><Relationship Id="rId29" Type="http://schemas.openxmlformats.org/officeDocument/2006/relationships/printerSettings" Target="../printerSettings/printerSettings503.bin"/><Relationship Id="rId11" Type="http://schemas.openxmlformats.org/officeDocument/2006/relationships/printerSettings" Target="../printerSettings/printerSettings485.bin"/><Relationship Id="rId24" Type="http://schemas.openxmlformats.org/officeDocument/2006/relationships/printerSettings" Target="../printerSettings/printerSettings498.bin"/><Relationship Id="rId32" Type="http://schemas.openxmlformats.org/officeDocument/2006/relationships/printerSettings" Target="../printerSettings/printerSettings506.bin"/><Relationship Id="rId37" Type="http://schemas.openxmlformats.org/officeDocument/2006/relationships/printerSettings" Target="../printerSettings/printerSettings511.bin"/><Relationship Id="rId40" Type="http://schemas.openxmlformats.org/officeDocument/2006/relationships/printerSettings" Target="../printerSettings/printerSettings514.bin"/><Relationship Id="rId45" Type="http://schemas.openxmlformats.org/officeDocument/2006/relationships/printerSettings" Target="../printerSettings/printerSettings519.bin"/><Relationship Id="rId53" Type="http://schemas.openxmlformats.org/officeDocument/2006/relationships/printerSettings" Target="../printerSettings/printerSettings527.bin"/><Relationship Id="rId58" Type="http://schemas.openxmlformats.org/officeDocument/2006/relationships/printerSettings" Target="../printerSettings/printerSettings532.bin"/><Relationship Id="rId66" Type="http://schemas.openxmlformats.org/officeDocument/2006/relationships/printerSettings" Target="../printerSettings/printerSettings540.bin"/><Relationship Id="rId74" Type="http://schemas.openxmlformats.org/officeDocument/2006/relationships/printerSettings" Target="../printerSettings/printerSettings548.bin"/><Relationship Id="rId79" Type="http://schemas.openxmlformats.org/officeDocument/2006/relationships/printerSettings" Target="../printerSettings/printerSettings553.bin"/><Relationship Id="rId5" Type="http://schemas.openxmlformats.org/officeDocument/2006/relationships/printerSettings" Target="../printerSettings/printerSettings479.bin"/><Relationship Id="rId61" Type="http://schemas.openxmlformats.org/officeDocument/2006/relationships/printerSettings" Target="../printerSettings/printerSettings535.bin"/><Relationship Id="rId10" Type="http://schemas.openxmlformats.org/officeDocument/2006/relationships/printerSettings" Target="../printerSettings/printerSettings484.bin"/><Relationship Id="rId19" Type="http://schemas.openxmlformats.org/officeDocument/2006/relationships/printerSettings" Target="../printerSettings/printerSettings493.bin"/><Relationship Id="rId31" Type="http://schemas.openxmlformats.org/officeDocument/2006/relationships/printerSettings" Target="../printerSettings/printerSettings505.bin"/><Relationship Id="rId44" Type="http://schemas.openxmlformats.org/officeDocument/2006/relationships/printerSettings" Target="../printerSettings/printerSettings518.bin"/><Relationship Id="rId52" Type="http://schemas.openxmlformats.org/officeDocument/2006/relationships/printerSettings" Target="../printerSettings/printerSettings526.bin"/><Relationship Id="rId60" Type="http://schemas.openxmlformats.org/officeDocument/2006/relationships/printerSettings" Target="../printerSettings/printerSettings534.bin"/><Relationship Id="rId65" Type="http://schemas.openxmlformats.org/officeDocument/2006/relationships/printerSettings" Target="../printerSettings/printerSettings539.bin"/><Relationship Id="rId73" Type="http://schemas.openxmlformats.org/officeDocument/2006/relationships/printerSettings" Target="../printerSettings/printerSettings547.bin"/><Relationship Id="rId78" Type="http://schemas.openxmlformats.org/officeDocument/2006/relationships/printerSettings" Target="../printerSettings/printerSettings552.bin"/><Relationship Id="rId4" Type="http://schemas.openxmlformats.org/officeDocument/2006/relationships/printerSettings" Target="../printerSettings/printerSettings478.bin"/><Relationship Id="rId9" Type="http://schemas.openxmlformats.org/officeDocument/2006/relationships/printerSettings" Target="../printerSettings/printerSettings483.bin"/><Relationship Id="rId14" Type="http://schemas.openxmlformats.org/officeDocument/2006/relationships/printerSettings" Target="../printerSettings/printerSettings488.bin"/><Relationship Id="rId22" Type="http://schemas.openxmlformats.org/officeDocument/2006/relationships/printerSettings" Target="../printerSettings/printerSettings496.bin"/><Relationship Id="rId27" Type="http://schemas.openxmlformats.org/officeDocument/2006/relationships/printerSettings" Target="../printerSettings/printerSettings501.bin"/><Relationship Id="rId30" Type="http://schemas.openxmlformats.org/officeDocument/2006/relationships/printerSettings" Target="../printerSettings/printerSettings504.bin"/><Relationship Id="rId35" Type="http://schemas.openxmlformats.org/officeDocument/2006/relationships/printerSettings" Target="../printerSettings/printerSettings509.bin"/><Relationship Id="rId43" Type="http://schemas.openxmlformats.org/officeDocument/2006/relationships/printerSettings" Target="../printerSettings/printerSettings517.bin"/><Relationship Id="rId48" Type="http://schemas.openxmlformats.org/officeDocument/2006/relationships/printerSettings" Target="../printerSettings/printerSettings522.bin"/><Relationship Id="rId56" Type="http://schemas.openxmlformats.org/officeDocument/2006/relationships/printerSettings" Target="../printerSettings/printerSettings530.bin"/><Relationship Id="rId64" Type="http://schemas.openxmlformats.org/officeDocument/2006/relationships/printerSettings" Target="../printerSettings/printerSettings538.bin"/><Relationship Id="rId69" Type="http://schemas.openxmlformats.org/officeDocument/2006/relationships/printerSettings" Target="../printerSettings/printerSettings543.bin"/><Relationship Id="rId77" Type="http://schemas.openxmlformats.org/officeDocument/2006/relationships/printerSettings" Target="../printerSettings/printerSettings551.bin"/><Relationship Id="rId8" Type="http://schemas.openxmlformats.org/officeDocument/2006/relationships/printerSettings" Target="../printerSettings/printerSettings482.bin"/><Relationship Id="rId51" Type="http://schemas.openxmlformats.org/officeDocument/2006/relationships/printerSettings" Target="../printerSettings/printerSettings525.bin"/><Relationship Id="rId72" Type="http://schemas.openxmlformats.org/officeDocument/2006/relationships/printerSettings" Target="../printerSettings/printerSettings546.bin"/><Relationship Id="rId80" Type="http://schemas.openxmlformats.org/officeDocument/2006/relationships/drawing" Target="../drawings/drawing1.xml"/><Relationship Id="rId3" Type="http://schemas.openxmlformats.org/officeDocument/2006/relationships/printerSettings" Target="../printerSettings/printerSettings477.bin"/><Relationship Id="rId12" Type="http://schemas.openxmlformats.org/officeDocument/2006/relationships/printerSettings" Target="../printerSettings/printerSettings486.bin"/><Relationship Id="rId17" Type="http://schemas.openxmlformats.org/officeDocument/2006/relationships/printerSettings" Target="../printerSettings/printerSettings491.bin"/><Relationship Id="rId25" Type="http://schemas.openxmlformats.org/officeDocument/2006/relationships/printerSettings" Target="../printerSettings/printerSettings499.bin"/><Relationship Id="rId33" Type="http://schemas.openxmlformats.org/officeDocument/2006/relationships/printerSettings" Target="../printerSettings/printerSettings507.bin"/><Relationship Id="rId38" Type="http://schemas.openxmlformats.org/officeDocument/2006/relationships/printerSettings" Target="../printerSettings/printerSettings512.bin"/><Relationship Id="rId46" Type="http://schemas.openxmlformats.org/officeDocument/2006/relationships/printerSettings" Target="../printerSettings/printerSettings520.bin"/><Relationship Id="rId59" Type="http://schemas.openxmlformats.org/officeDocument/2006/relationships/printerSettings" Target="../printerSettings/printerSettings533.bin"/><Relationship Id="rId67" Type="http://schemas.openxmlformats.org/officeDocument/2006/relationships/printerSettings" Target="../printerSettings/printerSettings541.bin"/><Relationship Id="rId20" Type="http://schemas.openxmlformats.org/officeDocument/2006/relationships/printerSettings" Target="../printerSettings/printerSettings494.bin"/><Relationship Id="rId41" Type="http://schemas.openxmlformats.org/officeDocument/2006/relationships/printerSettings" Target="../printerSettings/printerSettings515.bin"/><Relationship Id="rId54" Type="http://schemas.openxmlformats.org/officeDocument/2006/relationships/printerSettings" Target="../printerSettings/printerSettings528.bin"/><Relationship Id="rId62" Type="http://schemas.openxmlformats.org/officeDocument/2006/relationships/printerSettings" Target="../printerSettings/printerSettings536.bin"/><Relationship Id="rId70" Type="http://schemas.openxmlformats.org/officeDocument/2006/relationships/printerSettings" Target="../printerSettings/printerSettings544.bin"/><Relationship Id="rId75" Type="http://schemas.openxmlformats.org/officeDocument/2006/relationships/printerSettings" Target="../printerSettings/printerSettings549.bin"/><Relationship Id="rId1" Type="http://schemas.openxmlformats.org/officeDocument/2006/relationships/printerSettings" Target="../printerSettings/printerSettings475.bin"/><Relationship Id="rId6" Type="http://schemas.openxmlformats.org/officeDocument/2006/relationships/printerSettings" Target="../printerSettings/printerSettings480.bin"/><Relationship Id="rId15" Type="http://schemas.openxmlformats.org/officeDocument/2006/relationships/printerSettings" Target="../printerSettings/printerSettings489.bin"/><Relationship Id="rId23" Type="http://schemas.openxmlformats.org/officeDocument/2006/relationships/printerSettings" Target="../printerSettings/printerSettings497.bin"/><Relationship Id="rId28" Type="http://schemas.openxmlformats.org/officeDocument/2006/relationships/printerSettings" Target="../printerSettings/printerSettings502.bin"/><Relationship Id="rId36" Type="http://schemas.openxmlformats.org/officeDocument/2006/relationships/printerSettings" Target="../printerSettings/printerSettings510.bin"/><Relationship Id="rId49" Type="http://schemas.openxmlformats.org/officeDocument/2006/relationships/printerSettings" Target="../printerSettings/printerSettings523.bin"/><Relationship Id="rId57" Type="http://schemas.openxmlformats.org/officeDocument/2006/relationships/printerSettings" Target="../printerSettings/printerSettings531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61.bin"/><Relationship Id="rId13" Type="http://schemas.openxmlformats.org/officeDocument/2006/relationships/printerSettings" Target="../printerSettings/printerSettings566.bin"/><Relationship Id="rId3" Type="http://schemas.openxmlformats.org/officeDocument/2006/relationships/printerSettings" Target="../printerSettings/printerSettings556.bin"/><Relationship Id="rId7" Type="http://schemas.openxmlformats.org/officeDocument/2006/relationships/printerSettings" Target="../printerSettings/printerSettings560.bin"/><Relationship Id="rId12" Type="http://schemas.openxmlformats.org/officeDocument/2006/relationships/printerSettings" Target="../printerSettings/printerSettings565.bin"/><Relationship Id="rId17" Type="http://schemas.openxmlformats.org/officeDocument/2006/relationships/drawing" Target="../drawings/drawing2.xml"/><Relationship Id="rId2" Type="http://schemas.openxmlformats.org/officeDocument/2006/relationships/printerSettings" Target="../printerSettings/printerSettings555.bin"/><Relationship Id="rId16" Type="http://schemas.openxmlformats.org/officeDocument/2006/relationships/printerSettings" Target="../printerSettings/printerSettings569.bin"/><Relationship Id="rId1" Type="http://schemas.openxmlformats.org/officeDocument/2006/relationships/printerSettings" Target="../printerSettings/printerSettings554.bin"/><Relationship Id="rId6" Type="http://schemas.openxmlformats.org/officeDocument/2006/relationships/printerSettings" Target="../printerSettings/printerSettings559.bin"/><Relationship Id="rId11" Type="http://schemas.openxmlformats.org/officeDocument/2006/relationships/printerSettings" Target="../printerSettings/printerSettings564.bin"/><Relationship Id="rId5" Type="http://schemas.openxmlformats.org/officeDocument/2006/relationships/printerSettings" Target="../printerSettings/printerSettings558.bin"/><Relationship Id="rId15" Type="http://schemas.openxmlformats.org/officeDocument/2006/relationships/printerSettings" Target="../printerSettings/printerSettings568.bin"/><Relationship Id="rId10" Type="http://schemas.openxmlformats.org/officeDocument/2006/relationships/printerSettings" Target="../printerSettings/printerSettings563.bin"/><Relationship Id="rId4" Type="http://schemas.openxmlformats.org/officeDocument/2006/relationships/printerSettings" Target="../printerSettings/printerSettings557.bin"/><Relationship Id="rId9" Type="http://schemas.openxmlformats.org/officeDocument/2006/relationships/printerSettings" Target="../printerSettings/printerSettings562.bin"/><Relationship Id="rId14" Type="http://schemas.openxmlformats.org/officeDocument/2006/relationships/printerSettings" Target="../printerSettings/printerSettings567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77.bin"/><Relationship Id="rId13" Type="http://schemas.openxmlformats.org/officeDocument/2006/relationships/printerSettings" Target="../printerSettings/printerSettings582.bin"/><Relationship Id="rId3" Type="http://schemas.openxmlformats.org/officeDocument/2006/relationships/printerSettings" Target="../printerSettings/printerSettings572.bin"/><Relationship Id="rId7" Type="http://schemas.openxmlformats.org/officeDocument/2006/relationships/printerSettings" Target="../printerSettings/printerSettings576.bin"/><Relationship Id="rId12" Type="http://schemas.openxmlformats.org/officeDocument/2006/relationships/printerSettings" Target="../printerSettings/printerSettings581.bin"/><Relationship Id="rId17" Type="http://schemas.openxmlformats.org/officeDocument/2006/relationships/drawing" Target="../drawings/drawing3.xml"/><Relationship Id="rId2" Type="http://schemas.openxmlformats.org/officeDocument/2006/relationships/printerSettings" Target="../printerSettings/printerSettings571.bin"/><Relationship Id="rId16" Type="http://schemas.openxmlformats.org/officeDocument/2006/relationships/printerSettings" Target="../printerSettings/printerSettings585.bin"/><Relationship Id="rId1" Type="http://schemas.openxmlformats.org/officeDocument/2006/relationships/printerSettings" Target="../printerSettings/printerSettings570.bin"/><Relationship Id="rId6" Type="http://schemas.openxmlformats.org/officeDocument/2006/relationships/printerSettings" Target="../printerSettings/printerSettings575.bin"/><Relationship Id="rId11" Type="http://schemas.openxmlformats.org/officeDocument/2006/relationships/printerSettings" Target="../printerSettings/printerSettings580.bin"/><Relationship Id="rId5" Type="http://schemas.openxmlformats.org/officeDocument/2006/relationships/printerSettings" Target="../printerSettings/printerSettings574.bin"/><Relationship Id="rId15" Type="http://schemas.openxmlformats.org/officeDocument/2006/relationships/printerSettings" Target="../printerSettings/printerSettings584.bin"/><Relationship Id="rId10" Type="http://schemas.openxmlformats.org/officeDocument/2006/relationships/printerSettings" Target="../printerSettings/printerSettings579.bin"/><Relationship Id="rId4" Type="http://schemas.openxmlformats.org/officeDocument/2006/relationships/printerSettings" Target="../printerSettings/printerSettings573.bin"/><Relationship Id="rId9" Type="http://schemas.openxmlformats.org/officeDocument/2006/relationships/printerSettings" Target="../printerSettings/printerSettings578.bin"/><Relationship Id="rId14" Type="http://schemas.openxmlformats.org/officeDocument/2006/relationships/printerSettings" Target="../printerSettings/printerSettings583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93.bin"/><Relationship Id="rId13" Type="http://schemas.openxmlformats.org/officeDocument/2006/relationships/printerSettings" Target="../printerSettings/printerSettings598.bin"/><Relationship Id="rId3" Type="http://schemas.openxmlformats.org/officeDocument/2006/relationships/printerSettings" Target="../printerSettings/printerSettings588.bin"/><Relationship Id="rId7" Type="http://schemas.openxmlformats.org/officeDocument/2006/relationships/printerSettings" Target="../printerSettings/printerSettings592.bin"/><Relationship Id="rId12" Type="http://schemas.openxmlformats.org/officeDocument/2006/relationships/printerSettings" Target="../printerSettings/printerSettings597.bin"/><Relationship Id="rId17" Type="http://schemas.openxmlformats.org/officeDocument/2006/relationships/drawing" Target="../drawings/drawing4.xml"/><Relationship Id="rId2" Type="http://schemas.openxmlformats.org/officeDocument/2006/relationships/printerSettings" Target="../printerSettings/printerSettings587.bin"/><Relationship Id="rId16" Type="http://schemas.openxmlformats.org/officeDocument/2006/relationships/printerSettings" Target="../printerSettings/printerSettings601.bin"/><Relationship Id="rId1" Type="http://schemas.openxmlformats.org/officeDocument/2006/relationships/printerSettings" Target="../printerSettings/printerSettings586.bin"/><Relationship Id="rId6" Type="http://schemas.openxmlformats.org/officeDocument/2006/relationships/printerSettings" Target="../printerSettings/printerSettings591.bin"/><Relationship Id="rId11" Type="http://schemas.openxmlformats.org/officeDocument/2006/relationships/printerSettings" Target="../printerSettings/printerSettings596.bin"/><Relationship Id="rId5" Type="http://schemas.openxmlformats.org/officeDocument/2006/relationships/printerSettings" Target="../printerSettings/printerSettings590.bin"/><Relationship Id="rId15" Type="http://schemas.openxmlformats.org/officeDocument/2006/relationships/printerSettings" Target="../printerSettings/printerSettings600.bin"/><Relationship Id="rId10" Type="http://schemas.openxmlformats.org/officeDocument/2006/relationships/printerSettings" Target="../printerSettings/printerSettings595.bin"/><Relationship Id="rId4" Type="http://schemas.openxmlformats.org/officeDocument/2006/relationships/printerSettings" Target="../printerSettings/printerSettings589.bin"/><Relationship Id="rId9" Type="http://schemas.openxmlformats.org/officeDocument/2006/relationships/printerSettings" Target="../printerSettings/printerSettings594.bin"/><Relationship Id="rId14" Type="http://schemas.openxmlformats.org/officeDocument/2006/relationships/printerSettings" Target="../printerSettings/printerSettings59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6:L18"/>
  <sheetViews>
    <sheetView showGridLines="0" topLeftCell="A4" zoomScale="110" zoomScaleNormal="110" workbookViewId="0">
      <selection activeCell="B7" sqref="B7"/>
    </sheetView>
  </sheetViews>
  <sheetFormatPr defaultRowHeight="18.75" x14ac:dyDescent="0.3"/>
  <cols>
    <col min="1" max="1" width="13.42578125" style="5" customWidth="1"/>
    <col min="2" max="2" width="17.140625" style="5" bestFit="1" customWidth="1"/>
    <col min="3" max="3" width="8.28515625" style="5" bestFit="1" customWidth="1"/>
    <col min="4" max="4" width="13.85546875" style="5" bestFit="1" customWidth="1"/>
    <col min="5" max="5" width="11.42578125" style="5" customWidth="1"/>
    <col min="6" max="6" width="17.140625" style="5" bestFit="1" customWidth="1"/>
    <col min="7" max="7" width="9.85546875" style="5" bestFit="1" customWidth="1"/>
    <col min="8" max="8" width="13.85546875" style="5" bestFit="1" customWidth="1"/>
    <col min="9" max="9" width="9.140625" style="5"/>
    <col min="10" max="10" width="17.140625" style="5" bestFit="1" customWidth="1"/>
    <col min="11" max="11" width="8.28515625" style="5" bestFit="1" customWidth="1"/>
    <col min="12" max="12" width="13.85546875" style="5" bestFit="1" customWidth="1"/>
    <col min="13" max="16384" width="9.140625" style="5"/>
  </cols>
  <sheetData>
    <row r="6" spans="2:12" x14ac:dyDescent="0.3">
      <c r="B6" s="20" t="s">
        <v>19</v>
      </c>
      <c r="C6" s="20"/>
      <c r="D6" s="20"/>
      <c r="F6" s="20" t="s">
        <v>20</v>
      </c>
      <c r="G6" s="20"/>
      <c r="H6" s="20"/>
      <c r="J6" s="20" t="s">
        <v>21</v>
      </c>
      <c r="K6" s="20"/>
      <c r="L6" s="20"/>
    </row>
    <row r="7" spans="2:12" x14ac:dyDescent="0.3">
      <c r="B7" s="10" t="s">
        <v>17</v>
      </c>
      <c r="C7" s="10" t="s">
        <v>16</v>
      </c>
      <c r="D7" s="10" t="s">
        <v>15</v>
      </c>
      <c r="E7" s="9"/>
      <c r="F7" s="10" t="s">
        <v>17</v>
      </c>
      <c r="G7" s="10" t="s">
        <v>16</v>
      </c>
      <c r="H7" s="10" t="s">
        <v>15</v>
      </c>
      <c r="I7" s="9"/>
      <c r="J7" s="10" t="s">
        <v>17</v>
      </c>
      <c r="K7" s="10" t="s">
        <v>16</v>
      </c>
      <c r="L7" s="10" t="s">
        <v>15</v>
      </c>
    </row>
    <row r="8" spans="2:12" x14ac:dyDescent="0.3">
      <c r="B8" s="6" t="s">
        <v>13</v>
      </c>
      <c r="C8" s="6">
        <v>7.85</v>
      </c>
      <c r="D8" s="6" t="s">
        <v>12</v>
      </c>
      <c r="E8" s="7" t="str">
        <f t="shared" ref="E8:E13" si="0">_xlfn.IFS(B8&gt;=6,"Yes, it is over 6")</f>
        <v>Yes, it is over 6</v>
      </c>
      <c r="F8" s="6" t="s">
        <v>13</v>
      </c>
      <c r="G8" s="6">
        <v>10.25</v>
      </c>
      <c r="H8" s="6" t="s">
        <v>12</v>
      </c>
      <c r="J8" s="6" t="s">
        <v>7</v>
      </c>
      <c r="K8" s="6">
        <v>9.65</v>
      </c>
      <c r="L8" s="6" t="s">
        <v>6</v>
      </c>
    </row>
    <row r="9" spans="2:12" x14ac:dyDescent="0.3">
      <c r="B9" s="6" t="s">
        <v>11</v>
      </c>
      <c r="C9" s="6">
        <v>3.25</v>
      </c>
      <c r="D9" s="6" t="s">
        <v>10</v>
      </c>
      <c r="E9" s="7" t="str">
        <f t="shared" si="0"/>
        <v>Yes, it is over 6</v>
      </c>
      <c r="F9" s="6" t="s">
        <v>13</v>
      </c>
      <c r="G9" s="6">
        <v>9.75</v>
      </c>
      <c r="H9" s="6" t="s">
        <v>12</v>
      </c>
      <c r="J9" s="6" t="s">
        <v>7</v>
      </c>
      <c r="K9" s="8">
        <v>5.5</v>
      </c>
      <c r="L9" s="6" t="s">
        <v>6</v>
      </c>
    </row>
    <row r="10" spans="2:12" ht="21" customHeight="1" x14ac:dyDescent="0.3">
      <c r="B10" s="6" t="s">
        <v>9</v>
      </c>
      <c r="C10" s="6">
        <v>12.5</v>
      </c>
      <c r="D10" s="6" t="s">
        <v>8</v>
      </c>
      <c r="E10" s="7" t="str">
        <f t="shared" si="0"/>
        <v>Yes, it is over 6</v>
      </c>
      <c r="F10" s="6" t="s">
        <v>2</v>
      </c>
      <c r="G10" s="6">
        <v>5.25</v>
      </c>
      <c r="H10" s="6" t="s">
        <v>1</v>
      </c>
      <c r="J10" s="6" t="s">
        <v>11</v>
      </c>
      <c r="K10" s="8">
        <v>4.5</v>
      </c>
      <c r="L10" s="6" t="s">
        <v>10</v>
      </c>
    </row>
    <row r="11" spans="2:12" x14ac:dyDescent="0.3">
      <c r="B11" s="6" t="s">
        <v>7</v>
      </c>
      <c r="C11" s="6">
        <v>6.35</v>
      </c>
      <c r="D11" s="6" t="s">
        <v>6</v>
      </c>
      <c r="E11" s="7" t="str">
        <f t="shared" si="0"/>
        <v>Yes, it is over 6</v>
      </c>
      <c r="F11" s="6" t="s">
        <v>4</v>
      </c>
      <c r="G11" s="6">
        <v>3.75</v>
      </c>
      <c r="H11" s="6" t="s">
        <v>3</v>
      </c>
      <c r="J11" s="6" t="s">
        <v>9</v>
      </c>
      <c r="K11" s="8">
        <v>10.25</v>
      </c>
      <c r="L11" s="6" t="s">
        <v>8</v>
      </c>
    </row>
    <row r="12" spans="2:12" x14ac:dyDescent="0.3">
      <c r="B12" s="6" t="s">
        <v>4</v>
      </c>
      <c r="C12" s="6">
        <v>2.5</v>
      </c>
      <c r="D12" s="6" t="s">
        <v>3</v>
      </c>
      <c r="E12" s="7" t="str">
        <f t="shared" si="0"/>
        <v>Yes, it is over 6</v>
      </c>
      <c r="F12" s="6" t="s">
        <v>9</v>
      </c>
      <c r="G12" s="8">
        <v>11.99</v>
      </c>
      <c r="H12" s="6" t="s">
        <v>8</v>
      </c>
      <c r="J12" s="6" t="s">
        <v>4</v>
      </c>
      <c r="K12" s="8">
        <v>6.5</v>
      </c>
      <c r="L12" s="6" t="s">
        <v>3</v>
      </c>
    </row>
    <row r="13" spans="2:12" x14ac:dyDescent="0.3">
      <c r="B13" s="6" t="s">
        <v>2</v>
      </c>
      <c r="C13" s="6">
        <v>6.5</v>
      </c>
      <c r="D13" s="6" t="s">
        <v>1</v>
      </c>
      <c r="E13" s="7" t="str">
        <f t="shared" si="0"/>
        <v>Yes, it is over 6</v>
      </c>
      <c r="F13" s="6" t="s">
        <v>11</v>
      </c>
      <c r="G13" s="8">
        <v>5.5</v>
      </c>
      <c r="H13" s="6" t="s">
        <v>10</v>
      </c>
      <c r="J13" s="6" t="s">
        <v>2</v>
      </c>
      <c r="K13" s="6">
        <v>9.25</v>
      </c>
      <c r="L13" s="6" t="s">
        <v>1</v>
      </c>
    </row>
    <row r="14" spans="2:12" x14ac:dyDescent="0.3">
      <c r="B14" s="6" t="s">
        <v>13</v>
      </c>
      <c r="C14" s="6">
        <v>8.75</v>
      </c>
      <c r="D14" s="6" t="s">
        <v>12</v>
      </c>
      <c r="F14" s="6" t="s">
        <v>7</v>
      </c>
      <c r="G14" s="8">
        <v>7</v>
      </c>
      <c r="H14" s="6" t="s">
        <v>6</v>
      </c>
      <c r="J14" s="6" t="s">
        <v>13</v>
      </c>
      <c r="K14" s="8">
        <v>7.4</v>
      </c>
      <c r="L14" s="6" t="s">
        <v>12</v>
      </c>
    </row>
    <row r="15" spans="2:12" x14ac:dyDescent="0.3">
      <c r="B15" s="6" t="s">
        <v>7</v>
      </c>
      <c r="C15" s="6">
        <v>4.6500000000000004</v>
      </c>
      <c r="D15" s="6" t="s">
        <v>6</v>
      </c>
      <c r="F15" s="6" t="s">
        <v>7</v>
      </c>
      <c r="G15" s="8">
        <v>4.5</v>
      </c>
      <c r="H15" s="6" t="s">
        <v>6</v>
      </c>
      <c r="J15" s="6" t="s">
        <v>13</v>
      </c>
      <c r="K15" s="6">
        <v>8.75</v>
      </c>
      <c r="L15" s="6" t="s">
        <v>12</v>
      </c>
    </row>
    <row r="17" spans="2:12" ht="30" customHeight="1" x14ac:dyDescent="0.3">
      <c r="B17" s="21" t="s">
        <v>22</v>
      </c>
      <c r="C17" s="21"/>
      <c r="D17" s="13"/>
      <c r="F17" s="21" t="s">
        <v>23</v>
      </c>
      <c r="G17" s="21"/>
      <c r="H17" s="11"/>
      <c r="J17" s="21" t="s">
        <v>24</v>
      </c>
      <c r="K17" s="21"/>
      <c r="L17" s="13" t="s">
        <v>73</v>
      </c>
    </row>
    <row r="18" spans="2:12" x14ac:dyDescent="0.3">
      <c r="D18" s="7">
        <f>SUM(C8:C15,G8:G15,K8:K15)</f>
        <v>172.14000000000001</v>
      </c>
      <c r="H18" s="7">
        <f>SUM(C8,C14)</f>
        <v>16.600000000000001</v>
      </c>
      <c r="L18" s="7">
        <f>SUM(C10,G12,K11)</f>
        <v>34.74</v>
      </c>
    </row>
  </sheetData>
  <sortState ref="J8:L15">
    <sortCondition descending="1" ref="J8:J15"/>
  </sortState>
  <customSheetViews>
    <customSheetView guid="{4725FB26-BADE-478E-8CB6-C0172942A9EE}" scale="110" showGridLines="0" topLeftCell="A4">
      <selection activeCell="D17" sqref="D17"/>
      <pageMargins left="0.7" right="0.7" top="0.75" bottom="0.75" header="0.3" footer="0.3"/>
      <pageSetup orientation="portrait" r:id="rId1"/>
    </customSheetView>
    <customSheetView guid="{5B82F60B-B869-45D3-9A7D-2B843E789197}" scale="110" showGridLines="0" topLeftCell="A4">
      <selection activeCell="D17" sqref="D17"/>
      <pageMargins left="0.7" right="0.7" top="0.75" bottom="0.75" header="0.3" footer="0.3"/>
      <pageSetup orientation="portrait" r:id="rId2"/>
    </customSheetView>
    <customSheetView guid="{73745901-4C3A-49DD-83C4-0AEBB167DB63}" scale="110" showGridLines="0" topLeftCell="A4">
      <selection activeCell="D17" sqref="D17"/>
      <pageMargins left="0.7" right="0.7" top="0.75" bottom="0.75" header="0.3" footer="0.3"/>
      <pageSetup orientation="portrait" r:id="rId3"/>
    </customSheetView>
    <customSheetView guid="{AE37E6D9-7485-4A75-9115-FDBD1A6E08D0}" scale="110" showGridLines="0" topLeftCell="A4">
      <selection activeCell="D17" sqref="D17"/>
      <pageMargins left="0.7" right="0.7" top="0.75" bottom="0.75" header="0.3" footer="0.3"/>
      <pageSetup orientation="portrait" r:id="rId4"/>
    </customSheetView>
    <customSheetView guid="{28C5C254-2672-4A7F-9398-2FA6F99EE3FF}" scale="110" showGridLines="0" topLeftCell="A4">
      <selection activeCell="D17" sqref="D17"/>
      <pageMargins left="0.7" right="0.7" top="0.75" bottom="0.75" header="0.3" footer="0.3"/>
      <pageSetup orientation="portrait" r:id="rId5"/>
    </customSheetView>
    <customSheetView guid="{9967D63C-4135-4BF7-A83B-0EC0A28A8504}" scale="110" showGridLines="0" topLeftCell="A4">
      <selection activeCell="D17" sqref="D17"/>
      <pageMargins left="0.7" right="0.7" top="0.75" bottom="0.75" header="0.3" footer="0.3"/>
      <pageSetup orientation="portrait" r:id="rId6"/>
    </customSheetView>
    <customSheetView guid="{8DC39A41-9961-4A5C-8659-B8A82A01A470}" scale="110" showGridLines="0" topLeftCell="A4">
      <selection activeCell="B7" sqref="B7"/>
      <pageMargins left="0.7" right="0.7" top="0.75" bottom="0.75" header="0.3" footer="0.3"/>
      <pageSetup orientation="portrait" r:id="rId7"/>
    </customSheetView>
    <customSheetView guid="{06F040C9-291C-44DD-A11A-B2BAF2078CA1}" scale="110" showGridLines="0" topLeftCell="A4">
      <selection activeCell="B7" sqref="B7"/>
      <pageMargins left="0.7" right="0.7" top="0.75" bottom="0.75" header="0.3" footer="0.3"/>
      <pageSetup orientation="portrait" r:id="rId8"/>
    </customSheetView>
    <customSheetView guid="{AC1AC0BB-7D81-4427-80BF-DB36D3CC12C1}" scale="110" showGridLines="0" topLeftCell="A4">
      <selection activeCell="B7" sqref="B7"/>
      <pageMargins left="0.7" right="0.7" top="0.75" bottom="0.75" header="0.3" footer="0.3"/>
      <pageSetup orientation="portrait" r:id="rId9"/>
    </customSheetView>
    <customSheetView guid="{31F90F3E-FB31-437F-ADCE-44D58804C41D}" scale="110" showGridLines="0" topLeftCell="A4">
      <selection activeCell="B7" sqref="B7"/>
      <pageMargins left="0.7" right="0.7" top="0.75" bottom="0.75" header="0.3" footer="0.3"/>
      <pageSetup orientation="portrait" r:id="rId10"/>
    </customSheetView>
    <customSheetView guid="{57F7A421-8FD3-4470-813D-526D207C0AED}" scale="110" showGridLines="0" topLeftCell="A4">
      <selection activeCell="B7" sqref="B7"/>
      <pageMargins left="0.7" right="0.7" top="0.75" bottom="0.75" header="0.3" footer="0.3"/>
      <pageSetup orientation="portrait" r:id="rId11"/>
    </customSheetView>
    <customSheetView guid="{E065FC95-9F37-4AD0-A6AF-202A080459EB}" scale="110" showGridLines="0" topLeftCell="A4">
      <selection activeCell="B7" sqref="B7"/>
      <pageMargins left="0.7" right="0.7" top="0.75" bottom="0.75" header="0.3" footer="0.3"/>
      <pageSetup orientation="portrait" r:id="rId12"/>
    </customSheetView>
    <customSheetView guid="{A979108F-FF23-4967-8663-1A0C9618D854}" scale="110" showGridLines="0" topLeftCell="A4">
      <selection activeCell="B20" sqref="B20"/>
      <pageMargins left="0.7" right="0.7" top="0.75" bottom="0.75" header="0.3" footer="0.3"/>
      <pageSetup orientation="portrait" r:id="rId13"/>
    </customSheetView>
    <customSheetView guid="{AD9596A8-734D-48AD-8922-A58933E39AB8}" scale="110" showGridLines="0" topLeftCell="A4">
      <selection activeCell="B20" sqref="B20"/>
      <pageMargins left="0.7" right="0.7" top="0.75" bottom="0.75" header="0.3" footer="0.3"/>
      <pageSetup orientation="portrait" r:id="rId14"/>
    </customSheetView>
    <customSheetView guid="{DFB07116-697D-42FF-ACBD-E8FE92938B16}" scale="110" showGridLines="0" topLeftCell="A4">
      <selection activeCell="B20" sqref="B20"/>
      <pageMargins left="0.7" right="0.7" top="0.75" bottom="0.75" header="0.3" footer="0.3"/>
      <pageSetup orientation="portrait" r:id="rId15"/>
    </customSheetView>
    <customSheetView guid="{2032DE14-E33D-44B5-9022-A2B48F059704}" scale="110" showGridLines="0" state="hidden" topLeftCell="A4">
      <selection activeCell="B7" sqref="B7"/>
      <pageMargins left="0.7" right="0.7" top="0.75" bottom="0.75" header="0.3" footer="0.3"/>
      <pageSetup orientation="portrait" r:id="rId16"/>
    </customSheetView>
    <customSheetView guid="{EE4A95A5-BF42-4BAA-B9EB-84A9230A28F9}" scale="110" showGridLines="0" state="hidden" topLeftCell="A4">
      <selection activeCell="B7" sqref="B7"/>
      <pageMargins left="0.7" right="0.7" top="0.75" bottom="0.75" header="0.3" footer="0.3"/>
      <pageSetup orientation="portrait" r:id="rId17"/>
    </customSheetView>
    <customSheetView guid="{8BEA0E04-8B9A-4A2D-9B80-4E7685E22D5E}" scale="110" showGridLines="0" state="hidden" topLeftCell="A4">
      <selection activeCell="B7" sqref="B7"/>
      <pageMargins left="0.7" right="0.7" top="0.75" bottom="0.75" header="0.3" footer="0.3"/>
      <pageSetup orientation="portrait" r:id="rId18"/>
    </customSheetView>
    <customSheetView guid="{0125BE01-BBC8-4E5A-9A9A-3D1257916B8C}" scale="110" showGridLines="0" state="hidden" topLeftCell="A4">
      <selection activeCell="B7" sqref="B7"/>
      <pageMargins left="0.7" right="0.7" top="0.75" bottom="0.75" header="0.3" footer="0.3"/>
      <pageSetup orientation="portrait" r:id="rId19"/>
    </customSheetView>
    <customSheetView guid="{7A9AB605-DB82-470C-B86B-95E2AB3523F6}" scale="110" showGridLines="0" state="hidden" topLeftCell="A4">
      <selection activeCell="B7" sqref="B7"/>
      <pageMargins left="0.7" right="0.7" top="0.75" bottom="0.75" header="0.3" footer="0.3"/>
      <pageSetup orientation="portrait" r:id="rId20"/>
    </customSheetView>
    <customSheetView guid="{FC8D231F-57F9-45EE-9DEF-D7ED111600EB}" scale="110" showGridLines="0" state="hidden" topLeftCell="A4">
      <selection activeCell="B7" sqref="B7"/>
      <pageMargins left="0.7" right="0.7" top="0.75" bottom="0.75" header="0.3" footer="0.3"/>
      <pageSetup orientation="portrait" r:id="rId21"/>
    </customSheetView>
    <customSheetView guid="{395DC3D6-3299-4A43-88E2-62703FCC0349}" scale="110" showGridLines="0" state="hidden" topLeftCell="A4">
      <selection activeCell="B7" sqref="B7"/>
      <pageMargins left="0.7" right="0.7" top="0.75" bottom="0.75" header="0.3" footer="0.3"/>
      <pageSetup orientation="portrait" r:id="rId22"/>
    </customSheetView>
    <customSheetView guid="{5C8F4C13-387F-42D2-8CB5-92C4886D7919}" scale="110" showGridLines="0" state="hidden" topLeftCell="A4">
      <selection activeCell="B7" sqref="B7"/>
      <pageMargins left="0.7" right="0.7" top="0.75" bottom="0.75" header="0.3" footer="0.3"/>
      <pageSetup orientation="portrait" r:id="rId23"/>
    </customSheetView>
    <customSheetView guid="{8A25BF65-C908-4B2F-9805-3CD39BD4330E}" scale="110" showGridLines="0" state="hidden" topLeftCell="A4">
      <selection activeCell="B7" sqref="B7"/>
      <pageMargins left="0.7" right="0.7" top="0.75" bottom="0.75" header="0.3" footer="0.3"/>
      <pageSetup orientation="portrait" r:id="rId24"/>
    </customSheetView>
    <customSheetView guid="{F9A03991-7A83-41AE-B603-3D22265CDA22}" scale="110" showGridLines="0" state="hidden" topLeftCell="A4">
      <selection activeCell="B7" sqref="B7"/>
      <pageMargins left="0.7" right="0.7" top="0.75" bottom="0.75" header="0.3" footer="0.3"/>
      <pageSetup orientation="portrait" r:id="rId25"/>
    </customSheetView>
    <customSheetView guid="{FEB5A49F-F7F7-412A-BE72-F90F7A4799C8}" scale="110" showGridLines="0" state="hidden" topLeftCell="A4">
      <selection activeCell="B7" sqref="B7"/>
      <pageMargins left="0.7" right="0.7" top="0.75" bottom="0.75" header="0.3" footer="0.3"/>
      <pageSetup orientation="portrait" r:id="rId26"/>
    </customSheetView>
    <customSheetView guid="{F518ECB9-5D92-41E0-BFD2-C5175A02444D}" scale="110" showGridLines="0" state="hidden" topLeftCell="A4">
      <selection activeCell="B7" sqref="B7"/>
      <pageMargins left="0.7" right="0.7" top="0.75" bottom="0.75" header="0.3" footer="0.3"/>
      <pageSetup orientation="portrait" r:id="rId27"/>
    </customSheetView>
    <customSheetView guid="{BCAB4838-A37A-4BCF-A9C9-CC50C95F58C7}" scale="110" showGridLines="0" state="hidden" topLeftCell="A4">
      <selection activeCell="B7" sqref="B7"/>
      <pageMargins left="0.7" right="0.7" top="0.75" bottom="0.75" header="0.3" footer="0.3"/>
      <pageSetup orientation="portrait" r:id="rId28"/>
    </customSheetView>
    <customSheetView guid="{C4FE72FA-CBE8-407E-8EC2-C280F8FC5007}" scale="110" showGridLines="0" state="hidden" topLeftCell="A4">
      <selection activeCell="B7" sqref="B7"/>
      <pageMargins left="0.7" right="0.7" top="0.75" bottom="0.75" header="0.3" footer="0.3"/>
      <pageSetup orientation="portrait" r:id="rId29"/>
    </customSheetView>
    <customSheetView guid="{38FB2C7A-5CFF-4CFC-8EEB-670D05614592}" scale="110" showGridLines="0" state="hidden" topLeftCell="A4">
      <selection activeCell="B7" sqref="B7"/>
      <pageMargins left="0.7" right="0.7" top="0.75" bottom="0.75" header="0.3" footer="0.3"/>
      <pageSetup orientation="portrait" r:id="rId30"/>
    </customSheetView>
    <customSheetView guid="{40292D04-273C-4BA2-8BEC-F145CB80DE09}" scale="110" showGridLines="0" state="hidden" topLeftCell="A4">
      <selection activeCell="B7" sqref="B7"/>
      <pageMargins left="0.7" right="0.7" top="0.75" bottom="0.75" header="0.3" footer="0.3"/>
      <pageSetup orientation="portrait" r:id="rId31"/>
    </customSheetView>
    <customSheetView guid="{3803F984-A279-41F1-A517-160B18D90A7B}" scale="110" showGridLines="0" state="hidden" topLeftCell="A4">
      <selection activeCell="B7" sqref="B7"/>
      <pageMargins left="0.7" right="0.7" top="0.75" bottom="0.75" header="0.3" footer="0.3"/>
      <pageSetup orientation="portrait" r:id="rId32"/>
    </customSheetView>
    <customSheetView guid="{66733AAA-1B52-4C53-8317-97DE8A748E25}" scale="110" showGridLines="0" state="hidden" topLeftCell="A4">
      <selection activeCell="B7" sqref="B7"/>
      <pageMargins left="0.7" right="0.7" top="0.75" bottom="0.75" header="0.3" footer="0.3"/>
      <pageSetup orientation="portrait" r:id="rId33"/>
    </customSheetView>
    <customSheetView guid="{7FCE83C1-0279-4E15-8ADF-7AE60DC9131C}" scale="110" showGridLines="0" state="hidden" topLeftCell="A4">
      <selection activeCell="B7" sqref="B7"/>
      <pageMargins left="0.7" right="0.7" top="0.75" bottom="0.75" header="0.3" footer="0.3"/>
      <pageSetup orientation="portrait" r:id="rId34"/>
    </customSheetView>
    <customSheetView guid="{F92D650A-7143-46D6-8CDA-595FA977193F}" scale="110" showGridLines="0" state="hidden" topLeftCell="A4">
      <selection activeCell="B7" sqref="B7"/>
      <pageMargins left="0.7" right="0.7" top="0.75" bottom="0.75" header="0.3" footer="0.3"/>
      <pageSetup orientation="portrait" r:id="rId35"/>
    </customSheetView>
    <customSheetView guid="{C2D3B09E-3326-4084-AD7A-C8013F4130D6}" scale="110" showGridLines="0" state="hidden" topLeftCell="A4">
      <selection activeCell="B7" sqref="B7"/>
      <pageMargins left="0.7" right="0.7" top="0.75" bottom="0.75" header="0.3" footer="0.3"/>
      <pageSetup orientation="portrait" r:id="rId36"/>
    </customSheetView>
    <customSheetView guid="{E1A67331-473F-4161-806C-BE35870C93B5}" scale="110" showGridLines="0" state="hidden" topLeftCell="A4">
      <selection activeCell="B7" sqref="B7"/>
      <pageMargins left="0.7" right="0.7" top="0.75" bottom="0.75" header="0.3" footer="0.3"/>
      <pageSetup orientation="portrait" r:id="rId37"/>
    </customSheetView>
    <customSheetView guid="{CC562453-1E6B-4010-9E1B-775397A26EFA}" scale="110" showGridLines="0" state="hidden" topLeftCell="A4">
      <selection activeCell="B7" sqref="B7"/>
      <pageMargins left="0.7" right="0.7" top="0.75" bottom="0.75" header="0.3" footer="0.3"/>
      <pageSetup orientation="portrait" r:id="rId38"/>
    </customSheetView>
    <customSheetView guid="{644A6A80-0D34-48F6-A071-17016DCD2D6E}" scale="110" showGridLines="0" state="hidden" topLeftCell="A4">
      <selection activeCell="B7" sqref="B7"/>
      <pageMargins left="0.7" right="0.7" top="0.75" bottom="0.75" header="0.3" footer="0.3"/>
      <pageSetup orientation="portrait" r:id="rId39"/>
    </customSheetView>
    <customSheetView guid="{C65059E8-30E8-488B-A0E9-1B7961920C81}" scale="110" showGridLines="0" state="hidden" topLeftCell="A4">
      <selection activeCell="B7" sqref="B7"/>
      <pageMargins left="0.7" right="0.7" top="0.75" bottom="0.75" header="0.3" footer="0.3"/>
      <pageSetup orientation="portrait" r:id="rId40"/>
    </customSheetView>
    <customSheetView guid="{95D39BA8-2B16-4954-ABAC-09AD33A86339}" scale="110" showGridLines="0" state="hidden" topLeftCell="A4">
      <selection activeCell="B7" sqref="B7"/>
      <pageMargins left="0.7" right="0.7" top="0.75" bottom="0.75" header="0.3" footer="0.3"/>
      <pageSetup orientation="portrait" r:id="rId41"/>
    </customSheetView>
    <customSheetView guid="{25A4A7C0-9593-456C-861C-76D101D3FE93}" scale="110" showGridLines="0" state="hidden" topLeftCell="A4">
      <selection activeCell="B7" sqref="B7"/>
      <pageMargins left="0.7" right="0.7" top="0.75" bottom="0.75" header="0.3" footer="0.3"/>
      <pageSetup orientation="portrait" r:id="rId42"/>
    </customSheetView>
    <customSheetView guid="{51BA8A3D-4711-49ED-89E2-EBC09DF2AEDC}" scale="110" showGridLines="0" state="hidden" topLeftCell="A4">
      <selection activeCell="B7" sqref="B7"/>
      <pageMargins left="0.7" right="0.7" top="0.75" bottom="0.75" header="0.3" footer="0.3"/>
      <pageSetup orientation="portrait" r:id="rId43"/>
    </customSheetView>
    <customSheetView guid="{629A478C-29B1-4F25-A016-63CE32A1627F}" scale="110" showGridLines="0" state="hidden" topLeftCell="A4">
      <selection activeCell="B7" sqref="B7"/>
      <pageMargins left="0.7" right="0.7" top="0.75" bottom="0.75" header="0.3" footer="0.3"/>
      <pageSetup orientation="portrait" r:id="rId44"/>
    </customSheetView>
    <customSheetView guid="{F789A6E6-3D06-4D93-BF02-46FA1A2548B2}" scale="110" showGridLines="0" state="hidden" topLeftCell="A4">
      <selection activeCell="B7" sqref="B7"/>
      <pageMargins left="0.7" right="0.7" top="0.75" bottom="0.75" header="0.3" footer="0.3"/>
      <pageSetup orientation="portrait" r:id="rId45"/>
    </customSheetView>
    <customSheetView guid="{15D7A002-B247-4A6B-A16B-61BDD9B0066A}" scale="110" showGridLines="0" state="hidden" topLeftCell="A4">
      <selection activeCell="B7" sqref="B7"/>
      <pageMargins left="0.7" right="0.7" top="0.75" bottom="0.75" header="0.3" footer="0.3"/>
      <pageSetup orientation="portrait" r:id="rId46"/>
    </customSheetView>
    <customSheetView guid="{9AFCAA87-4888-4976-A7C9-C06A34CB6C97}" scale="110" showGridLines="0" state="hidden" topLeftCell="A4">
      <selection activeCell="B7" sqref="B7"/>
      <pageMargins left="0.7" right="0.7" top="0.75" bottom="0.75" header="0.3" footer="0.3"/>
      <pageSetup orientation="portrait" r:id="rId47"/>
    </customSheetView>
    <customSheetView guid="{E4FF7DB9-14DF-49DB-9F59-1898DDED4DCE}" scale="110" showGridLines="0" state="hidden" topLeftCell="A4">
      <selection activeCell="B7" sqref="B7"/>
      <pageMargins left="0.7" right="0.7" top="0.75" bottom="0.75" header="0.3" footer="0.3"/>
      <pageSetup orientation="portrait" r:id="rId48"/>
    </customSheetView>
    <customSheetView guid="{EC7537C6-1678-41C1-B788-EF4AFFECF769}" scale="110" showGridLines="0" state="hidden" topLeftCell="A4">
      <selection activeCell="B7" sqref="B7"/>
      <pageMargins left="0.7" right="0.7" top="0.75" bottom="0.75" header="0.3" footer="0.3"/>
      <pageSetup orientation="portrait" r:id="rId49"/>
    </customSheetView>
    <customSheetView guid="{1920E7A3-1C9F-4320-81BB-D11544051025}" scale="110" showGridLines="0" state="hidden" topLeftCell="A4">
      <selection activeCell="B7" sqref="B7"/>
      <pageMargins left="0.7" right="0.7" top="0.75" bottom="0.75" header="0.3" footer="0.3"/>
      <pageSetup orientation="portrait" r:id="rId50"/>
    </customSheetView>
    <customSheetView guid="{02D27969-4CD1-473E-A0E8-856AB0664DE8}" scale="110" showGridLines="0" state="hidden" topLeftCell="A4">
      <selection activeCell="B7" sqref="B7"/>
      <pageMargins left="0.7" right="0.7" top="0.75" bottom="0.75" header="0.3" footer="0.3"/>
      <pageSetup orientation="portrait" r:id="rId51"/>
    </customSheetView>
    <customSheetView guid="{422703F6-63C4-435C-AFE7-1030286678F6}" scale="110" showGridLines="0" state="hidden" topLeftCell="A4">
      <selection activeCell="B7" sqref="B7"/>
      <pageMargins left="0.7" right="0.7" top="0.75" bottom="0.75" header="0.3" footer="0.3"/>
      <pageSetup orientation="portrait" r:id="rId52"/>
    </customSheetView>
    <customSheetView guid="{F3CB97AD-592C-4B6E-8AE3-1CD47479060C}" scale="110" showGridLines="0" state="hidden" topLeftCell="A4">
      <selection activeCell="B7" sqref="B7"/>
      <pageMargins left="0.7" right="0.7" top="0.75" bottom="0.75" header="0.3" footer="0.3"/>
      <pageSetup orientation="portrait" r:id="rId53"/>
    </customSheetView>
    <customSheetView guid="{19DA6E7F-8950-4769-9BBE-2798EFA465A3}" scale="110" showGridLines="0" state="hidden" topLeftCell="A4">
      <selection activeCell="B7" sqref="B7"/>
      <pageMargins left="0.7" right="0.7" top="0.75" bottom="0.75" header="0.3" footer="0.3"/>
      <pageSetup orientation="portrait" r:id="rId54"/>
    </customSheetView>
    <customSheetView guid="{47C01131-7443-4080-A2BB-6B6AA35C6913}" scale="110" showGridLines="0" state="hidden" topLeftCell="A4">
      <selection activeCell="B7" sqref="B7"/>
      <pageMargins left="0.7" right="0.7" top="0.75" bottom="0.75" header="0.3" footer="0.3"/>
      <pageSetup orientation="portrait" r:id="rId55"/>
    </customSheetView>
    <customSheetView guid="{C7330417-67A9-44CF-917F-5F5E2F191AD4}" scale="110" showGridLines="0" state="hidden" topLeftCell="A4">
      <selection activeCell="B7" sqref="B7"/>
      <pageMargins left="0.7" right="0.7" top="0.75" bottom="0.75" header="0.3" footer="0.3"/>
      <pageSetup orientation="portrait" r:id="rId56"/>
    </customSheetView>
    <customSheetView guid="{EBA5E9C4-A2DB-4DF0-BF75-1243E968318E}" scale="110" showGridLines="0" state="hidden" topLeftCell="A4">
      <selection activeCell="B7" sqref="B7"/>
      <pageMargins left="0.7" right="0.7" top="0.75" bottom="0.75" header="0.3" footer="0.3"/>
      <pageSetup orientation="portrait" r:id="rId57"/>
    </customSheetView>
    <customSheetView guid="{7A7FC9A5-F2B5-4894-82BC-4528575F10D4}" scale="110" showGridLines="0" state="hidden" topLeftCell="A4">
      <selection activeCell="B7" sqref="B7"/>
      <pageMargins left="0.7" right="0.7" top="0.75" bottom="0.75" header="0.3" footer="0.3"/>
      <pageSetup orientation="portrait" r:id="rId58"/>
    </customSheetView>
    <customSheetView guid="{6194C141-D0A1-4D58-BA55-90A184525AC3}" scale="110" showGridLines="0" state="hidden" topLeftCell="A4">
      <selection activeCell="B7" sqref="B7"/>
      <pageMargins left="0.7" right="0.7" top="0.75" bottom="0.75" header="0.3" footer="0.3"/>
      <pageSetup orientation="portrait" r:id="rId59"/>
    </customSheetView>
    <customSheetView guid="{A5292A6B-6F92-4AB3-B051-EF87F39FC489}" scale="110" showGridLines="0" state="hidden" topLeftCell="A4">
      <selection activeCell="B7" sqref="B7"/>
      <pageMargins left="0.7" right="0.7" top="0.75" bottom="0.75" header="0.3" footer="0.3"/>
      <pageSetup orientation="portrait" r:id="rId60"/>
    </customSheetView>
    <customSheetView guid="{C090DFAD-A23A-4678-87F2-095D84EBDDE8}" scale="110" showGridLines="0" state="hidden" topLeftCell="A4">
      <selection activeCell="B7" sqref="B7"/>
      <pageMargins left="0.7" right="0.7" top="0.75" bottom="0.75" header="0.3" footer="0.3"/>
      <pageSetup orientation="portrait" r:id="rId61"/>
    </customSheetView>
    <customSheetView guid="{4F11E31F-E14C-416D-BB97-C8CE74658FBE}" scale="110" showGridLines="0" state="hidden" topLeftCell="A4">
      <selection activeCell="B7" sqref="B7"/>
      <pageMargins left="0.7" right="0.7" top="0.75" bottom="0.75" header="0.3" footer="0.3"/>
      <pageSetup orientation="portrait" r:id="rId62"/>
    </customSheetView>
    <customSheetView guid="{F2A17A28-A3DF-492D-BAE9-AAEF2A13397B}" scale="110" showGridLines="0" state="hidden" topLeftCell="A4">
      <selection activeCell="B7" sqref="B7"/>
      <pageMargins left="0.7" right="0.7" top="0.75" bottom="0.75" header="0.3" footer="0.3"/>
      <pageSetup orientation="portrait" r:id="rId63"/>
    </customSheetView>
    <customSheetView guid="{8F332A92-7271-4FEC-B085-C15AA232FE21}" scale="110" showGridLines="0" state="hidden" topLeftCell="A4">
      <selection activeCell="B7" sqref="B7"/>
      <pageMargins left="0.7" right="0.7" top="0.75" bottom="0.75" header="0.3" footer="0.3"/>
      <pageSetup orientation="portrait" r:id="rId64"/>
    </customSheetView>
    <customSheetView guid="{6B1EB7F4-EF59-450E-A531-475C3A6E6150}" scale="110" showGridLines="0" state="hidden" topLeftCell="A4">
      <selection activeCell="B7" sqref="B7"/>
      <pageMargins left="0.7" right="0.7" top="0.75" bottom="0.75" header="0.3" footer="0.3"/>
      <pageSetup orientation="portrait" r:id="rId65"/>
    </customSheetView>
    <customSheetView guid="{8EBF087E-11C5-42EE-B564-FAEE72C86C17}" scale="110" showGridLines="0" state="hidden" topLeftCell="A4">
      <selection activeCell="B7" sqref="B7"/>
      <pageMargins left="0.7" right="0.7" top="0.75" bottom="0.75" header="0.3" footer="0.3"/>
      <pageSetup orientation="portrait" r:id="rId66"/>
    </customSheetView>
    <customSheetView guid="{F716839F-5448-40FC-95BC-286199FD6764}" scale="110" showGridLines="0" state="hidden" topLeftCell="A4">
      <selection activeCell="B7" sqref="B7"/>
      <pageMargins left="0.7" right="0.7" top="0.75" bottom="0.75" header="0.3" footer="0.3"/>
      <pageSetup orientation="portrait" r:id="rId67"/>
    </customSheetView>
    <customSheetView guid="{E712F22D-DF79-4936-B86B-186E637372BF}" scale="110" showGridLines="0" state="hidden" topLeftCell="A4">
      <selection activeCell="B7" sqref="B7"/>
      <pageMargins left="0.7" right="0.7" top="0.75" bottom="0.75" header="0.3" footer="0.3"/>
      <pageSetup orientation="portrait" r:id="rId68"/>
    </customSheetView>
    <customSheetView guid="{672B3D91-11D6-418C-A856-9FF74CE5E6FB}" scale="110" showGridLines="0" state="hidden" topLeftCell="A4">
      <selection activeCell="B7" sqref="B7"/>
      <pageMargins left="0.7" right="0.7" top="0.75" bottom="0.75" header="0.3" footer="0.3"/>
      <pageSetup orientation="portrait" r:id="rId69"/>
    </customSheetView>
    <customSheetView guid="{5B4753E1-B7DC-40C2-A28F-B07A6CB075FE}" scale="110" showGridLines="0" state="hidden" topLeftCell="A4">
      <selection activeCell="B7" sqref="B7"/>
      <pageMargins left="0.7" right="0.7" top="0.75" bottom="0.75" header="0.3" footer="0.3"/>
      <pageSetup orientation="portrait" r:id="rId70"/>
    </customSheetView>
    <customSheetView guid="{EF2006E2-DE9B-4938-AD6F-8255BE7D529F}" scale="110" showGridLines="0" state="hidden" topLeftCell="A4">
      <selection activeCell="B7" sqref="B7"/>
      <pageMargins left="0.7" right="0.7" top="0.75" bottom="0.75" header="0.3" footer="0.3"/>
      <pageSetup orientation="portrait" r:id="rId71"/>
    </customSheetView>
    <customSheetView guid="{0BFB30CE-F6D9-44B3-99BA-62858BF46600}" scale="110" showGridLines="0" state="hidden" topLeftCell="A4">
      <selection activeCell="B7" sqref="B7"/>
      <pageMargins left="0.7" right="0.7" top="0.75" bottom="0.75" header="0.3" footer="0.3"/>
      <pageSetup orientation="portrait" r:id="rId72"/>
    </customSheetView>
    <customSheetView guid="{E3977DAC-58A9-43A5-A2CD-037AE84A3934}" scale="110" showGridLines="0" state="hidden" topLeftCell="A4">
      <selection activeCell="B7" sqref="B7"/>
      <pageMargins left="0.7" right="0.7" top="0.75" bottom="0.75" header="0.3" footer="0.3"/>
      <pageSetup orientation="portrait" r:id="rId73"/>
    </customSheetView>
    <customSheetView guid="{E18774DE-EF27-4708-91D7-FE2A7EE4C992}" scale="110" showGridLines="0" state="hidden" topLeftCell="A4">
      <selection activeCell="B7" sqref="B7"/>
      <pageMargins left="0.7" right="0.7" top="0.75" bottom="0.75" header="0.3" footer="0.3"/>
      <pageSetup orientation="portrait" r:id="rId74"/>
    </customSheetView>
    <customSheetView guid="{F102CDDA-1DB7-4BD5-8A8F-CD5640485596}" scale="110" showGridLines="0" state="hidden" topLeftCell="A4">
      <selection activeCell="B7" sqref="B7"/>
      <pageMargins left="0.7" right="0.7" top="0.75" bottom="0.75" header="0.3" footer="0.3"/>
      <pageSetup orientation="portrait" r:id="rId75"/>
    </customSheetView>
    <customSheetView guid="{A3C7F73E-8288-4122-801A-9A426BB0DFB8}" scale="110" showGridLines="0" state="hidden" topLeftCell="A4">
      <selection activeCell="B7" sqref="B7"/>
      <pageMargins left="0.7" right="0.7" top="0.75" bottom="0.75" header="0.3" footer="0.3"/>
      <pageSetup orientation="portrait" r:id="rId76"/>
    </customSheetView>
    <customSheetView guid="{C1FEC2CE-0AE0-4F12-8438-BD3D230D3830}" scale="110" showGridLines="0" state="hidden" topLeftCell="A4">
      <selection activeCell="B7" sqref="B7"/>
      <pageMargins left="0.7" right="0.7" top="0.75" bottom="0.75" header="0.3" footer="0.3"/>
      <pageSetup orientation="portrait" r:id="rId77"/>
    </customSheetView>
    <customSheetView guid="{576A445C-3D9A-438D-AC68-B679E3D65634}" scale="110" showGridLines="0" state="hidden" topLeftCell="A4">
      <selection activeCell="B7" sqref="B7"/>
      <pageMargins left="0.7" right="0.7" top="0.75" bottom="0.75" header="0.3" footer="0.3"/>
      <pageSetup orientation="portrait" r:id="rId78"/>
    </customSheetView>
  </customSheetViews>
  <mergeCells count="6">
    <mergeCell ref="B6:D6"/>
    <mergeCell ref="F6:H6"/>
    <mergeCell ref="J6:L6"/>
    <mergeCell ref="B17:C17"/>
    <mergeCell ref="F17:G17"/>
    <mergeCell ref="J17:K17"/>
  </mergeCells>
  <conditionalFormatting sqref="D17">
    <cfRule type="expression" dxfId="20" priority="3">
      <formula>D$17=D$18</formula>
    </cfRule>
  </conditionalFormatting>
  <conditionalFormatting sqref="H17">
    <cfRule type="expression" dxfId="19" priority="2">
      <formula>H$17=H$18</formula>
    </cfRule>
  </conditionalFormatting>
  <conditionalFormatting sqref="L17">
    <cfRule type="expression" dxfId="18" priority="1">
      <formula>L$17=L$18</formula>
    </cfRule>
  </conditionalFormatting>
  <pageMargins left="0.7" right="0.7" top="0.75" bottom="0.75" header="0.3" footer="0.3"/>
  <pageSetup orientation="portrait" r:id="rId7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5:L17"/>
  <sheetViews>
    <sheetView showGridLines="0" zoomScale="110" zoomScaleNormal="110" workbookViewId="0">
      <selection activeCell="D16" sqref="D16"/>
    </sheetView>
  </sheetViews>
  <sheetFormatPr defaultRowHeight="18.75" x14ac:dyDescent="0.3"/>
  <cols>
    <col min="1" max="1" width="13.42578125" style="5" customWidth="1"/>
    <col min="2" max="2" width="17.140625" style="5" bestFit="1" customWidth="1"/>
    <col min="3" max="3" width="8.28515625" style="5" bestFit="1" customWidth="1"/>
    <col min="4" max="4" width="13.85546875" style="5" bestFit="1" customWidth="1"/>
    <col min="5" max="5" width="11.42578125" style="5" customWidth="1"/>
    <col min="6" max="6" width="17.140625" style="5" bestFit="1" customWidth="1"/>
    <col min="7" max="7" width="9.85546875" style="5" bestFit="1" customWidth="1"/>
    <col min="8" max="8" width="13.85546875" style="5" bestFit="1" customWidth="1"/>
    <col min="9" max="9" width="9.140625" style="5"/>
    <col min="10" max="10" width="17.140625" style="5" bestFit="1" customWidth="1"/>
    <col min="11" max="11" width="8.28515625" style="5" bestFit="1" customWidth="1"/>
    <col min="12" max="12" width="13.85546875" style="5" bestFit="1" customWidth="1"/>
    <col min="13" max="16384" width="9.140625" style="5"/>
  </cols>
  <sheetData>
    <row r="5" spans="2:12" x14ac:dyDescent="0.3">
      <c r="B5" s="20" t="s">
        <v>19</v>
      </c>
      <c r="C5" s="20"/>
      <c r="D5" s="20"/>
      <c r="F5" s="20" t="s">
        <v>20</v>
      </c>
      <c r="G5" s="20"/>
      <c r="H5" s="20"/>
      <c r="J5" s="20" t="s">
        <v>21</v>
      </c>
      <c r="K5" s="20"/>
      <c r="L5" s="20"/>
    </row>
    <row r="6" spans="2:12" x14ac:dyDescent="0.3">
      <c r="B6" s="10" t="s">
        <v>17</v>
      </c>
      <c r="C6" s="10" t="s">
        <v>16</v>
      </c>
      <c r="D6" s="10" t="s">
        <v>15</v>
      </c>
      <c r="E6" s="9"/>
      <c r="F6" s="10" t="s">
        <v>17</v>
      </c>
      <c r="G6" s="10" t="s">
        <v>16</v>
      </c>
      <c r="H6" s="10" t="s">
        <v>15</v>
      </c>
      <c r="I6" s="9"/>
      <c r="J6" s="10" t="s">
        <v>17</v>
      </c>
      <c r="K6" s="10" t="s">
        <v>16</v>
      </c>
      <c r="L6" s="10" t="s">
        <v>15</v>
      </c>
    </row>
    <row r="7" spans="2:12" x14ac:dyDescent="0.3">
      <c r="B7" s="6" t="s">
        <v>13</v>
      </c>
      <c r="C7" s="6">
        <v>7.85</v>
      </c>
      <c r="D7" s="6" t="s">
        <v>12</v>
      </c>
      <c r="E7" s="7" t="str">
        <f t="shared" ref="E7:E12" si="0">_xlfn.IFS(B7&gt;=6,"Yes, it is over 6")</f>
        <v>Yes, it is over 6</v>
      </c>
      <c r="F7" s="6" t="s">
        <v>13</v>
      </c>
      <c r="G7" s="6">
        <v>10.25</v>
      </c>
      <c r="H7" s="6" t="s">
        <v>12</v>
      </c>
      <c r="J7" s="6" t="s">
        <v>7</v>
      </c>
      <c r="K7" s="6">
        <v>9.65</v>
      </c>
      <c r="L7" s="6" t="s">
        <v>6</v>
      </c>
    </row>
    <row r="8" spans="2:12" x14ac:dyDescent="0.3">
      <c r="B8" s="6" t="s">
        <v>11</v>
      </c>
      <c r="C8" s="6">
        <v>3.25</v>
      </c>
      <c r="D8" s="6" t="s">
        <v>10</v>
      </c>
      <c r="E8" s="7" t="str">
        <f t="shared" si="0"/>
        <v>Yes, it is over 6</v>
      </c>
      <c r="F8" s="6" t="s">
        <v>13</v>
      </c>
      <c r="G8" s="6">
        <v>9.75</v>
      </c>
      <c r="H8" s="6" t="s">
        <v>12</v>
      </c>
      <c r="J8" s="6" t="s">
        <v>7</v>
      </c>
      <c r="K8" s="8">
        <v>5.5</v>
      </c>
      <c r="L8" s="6" t="s">
        <v>6</v>
      </c>
    </row>
    <row r="9" spans="2:12" ht="21" customHeight="1" x14ac:dyDescent="0.3">
      <c r="B9" s="6" t="s">
        <v>9</v>
      </c>
      <c r="C9" s="6">
        <v>12.5</v>
      </c>
      <c r="D9" s="6" t="s">
        <v>8</v>
      </c>
      <c r="E9" s="7" t="str">
        <f t="shared" si="0"/>
        <v>Yes, it is over 6</v>
      </c>
      <c r="F9" s="6" t="s">
        <v>2</v>
      </c>
      <c r="G9" s="6">
        <v>5.25</v>
      </c>
      <c r="H9" s="6" t="s">
        <v>1</v>
      </c>
      <c r="J9" s="6" t="s">
        <v>11</v>
      </c>
      <c r="K9" s="8">
        <v>4.5</v>
      </c>
      <c r="L9" s="6" t="s">
        <v>10</v>
      </c>
    </row>
    <row r="10" spans="2:12" x14ac:dyDescent="0.3">
      <c r="B10" s="6" t="s">
        <v>7</v>
      </c>
      <c r="C10" s="6">
        <v>6.35</v>
      </c>
      <c r="D10" s="6" t="s">
        <v>6</v>
      </c>
      <c r="E10" s="7" t="str">
        <f t="shared" si="0"/>
        <v>Yes, it is over 6</v>
      </c>
      <c r="F10" s="6" t="s">
        <v>4</v>
      </c>
      <c r="G10" s="6">
        <v>3.75</v>
      </c>
      <c r="H10" s="6" t="s">
        <v>3</v>
      </c>
      <c r="J10" s="6" t="s">
        <v>9</v>
      </c>
      <c r="K10" s="8">
        <v>10.25</v>
      </c>
      <c r="L10" s="6" t="s">
        <v>8</v>
      </c>
    </row>
    <row r="11" spans="2:12" x14ac:dyDescent="0.3">
      <c r="B11" s="6" t="s">
        <v>4</v>
      </c>
      <c r="C11" s="6">
        <v>2.5</v>
      </c>
      <c r="D11" s="6" t="s">
        <v>3</v>
      </c>
      <c r="E11" s="7" t="str">
        <f t="shared" si="0"/>
        <v>Yes, it is over 6</v>
      </c>
      <c r="F11" s="6" t="s">
        <v>9</v>
      </c>
      <c r="G11" s="8">
        <v>11.99</v>
      </c>
      <c r="H11" s="6" t="s">
        <v>8</v>
      </c>
      <c r="J11" s="6" t="s">
        <v>4</v>
      </c>
      <c r="K11" s="8">
        <v>6.5</v>
      </c>
      <c r="L11" s="6" t="s">
        <v>3</v>
      </c>
    </row>
    <row r="12" spans="2:12" x14ac:dyDescent="0.3">
      <c r="B12" s="6" t="s">
        <v>2</v>
      </c>
      <c r="C12" s="6">
        <v>6.5</v>
      </c>
      <c r="D12" s="6" t="s">
        <v>1</v>
      </c>
      <c r="E12" s="7" t="str">
        <f t="shared" si="0"/>
        <v>Yes, it is over 6</v>
      </c>
      <c r="F12" s="6" t="s">
        <v>11</v>
      </c>
      <c r="G12" s="8">
        <v>5.5</v>
      </c>
      <c r="H12" s="6" t="s">
        <v>10</v>
      </c>
      <c r="J12" s="6" t="s">
        <v>2</v>
      </c>
      <c r="K12" s="6">
        <v>9.25</v>
      </c>
      <c r="L12" s="6" t="s">
        <v>1</v>
      </c>
    </row>
    <row r="13" spans="2:12" x14ac:dyDescent="0.3">
      <c r="B13" s="6" t="s">
        <v>13</v>
      </c>
      <c r="C13" s="6">
        <v>8.75</v>
      </c>
      <c r="D13" s="6" t="s">
        <v>12</v>
      </c>
      <c r="F13" s="6" t="s">
        <v>7</v>
      </c>
      <c r="G13" s="8">
        <v>7</v>
      </c>
      <c r="H13" s="6" t="s">
        <v>6</v>
      </c>
      <c r="J13" s="6" t="s">
        <v>13</v>
      </c>
      <c r="K13" s="8">
        <v>7.4</v>
      </c>
      <c r="L13" s="6" t="s">
        <v>12</v>
      </c>
    </row>
    <row r="14" spans="2:12" x14ac:dyDescent="0.3">
      <c r="B14" s="6" t="s">
        <v>7</v>
      </c>
      <c r="C14" s="6">
        <v>4.6500000000000004</v>
      </c>
      <c r="D14" s="6" t="s">
        <v>6</v>
      </c>
      <c r="F14" s="6" t="s">
        <v>7</v>
      </c>
      <c r="G14" s="8">
        <v>4.5</v>
      </c>
      <c r="H14" s="6" t="s">
        <v>6</v>
      </c>
      <c r="J14" s="6" t="s">
        <v>13</v>
      </c>
      <c r="K14" s="6">
        <v>8.75</v>
      </c>
      <c r="L14" s="6" t="s">
        <v>12</v>
      </c>
    </row>
    <row r="16" spans="2:12" ht="30" customHeight="1" x14ac:dyDescent="0.3">
      <c r="B16" s="21" t="s">
        <v>25</v>
      </c>
      <c r="C16" s="21"/>
      <c r="D16" s="11"/>
      <c r="F16" s="21" t="s">
        <v>26</v>
      </c>
      <c r="G16" s="21"/>
      <c r="H16" s="11"/>
      <c r="J16" s="21" t="s">
        <v>27</v>
      </c>
      <c r="K16" s="21"/>
      <c r="L16" s="13"/>
    </row>
    <row r="17" spans="4:12" x14ac:dyDescent="0.3">
      <c r="D17" s="7">
        <f>AVERAGE(C7:C14,G7:G14,K7:K14)</f>
        <v>7.1725000000000003</v>
      </c>
      <c r="H17" s="7">
        <f>AVERAGE(C7,C13)</f>
        <v>8.3000000000000007</v>
      </c>
      <c r="L17" s="12">
        <f>AVERAGE(C9,G11,K10)</f>
        <v>11.58</v>
      </c>
    </row>
  </sheetData>
  <customSheetViews>
    <customSheetView guid="{4725FB26-BADE-478E-8CB6-C0172942A9EE}" scale="110" showGridLines="0" topLeftCell="A3">
      <selection activeCell="D16" sqref="D16"/>
      <pageMargins left="0.7" right="0.7" top="0.75" bottom="0.75" header="0.3" footer="0.3"/>
      <pageSetup orientation="portrait" r:id="rId1"/>
    </customSheetView>
    <customSheetView guid="{5B82F60B-B869-45D3-9A7D-2B843E789197}" scale="110" showGridLines="0" topLeftCell="A3">
      <selection activeCell="D16" sqref="D16"/>
      <pageMargins left="0.7" right="0.7" top="0.75" bottom="0.75" header="0.3" footer="0.3"/>
      <pageSetup orientation="portrait" r:id="rId2"/>
    </customSheetView>
    <customSheetView guid="{73745901-4C3A-49DD-83C4-0AEBB167DB63}" scale="110" showGridLines="0" topLeftCell="A3">
      <selection activeCell="D16" sqref="D16"/>
      <pageMargins left="0.7" right="0.7" top="0.75" bottom="0.75" header="0.3" footer="0.3"/>
      <pageSetup orientation="portrait" r:id="rId3"/>
    </customSheetView>
    <customSheetView guid="{AE37E6D9-7485-4A75-9115-FDBD1A6E08D0}" scale="110" showGridLines="0" topLeftCell="A3">
      <selection activeCell="D16" sqref="D16"/>
      <pageMargins left="0.7" right="0.7" top="0.75" bottom="0.75" header="0.3" footer="0.3"/>
      <pageSetup orientation="portrait" r:id="rId4"/>
    </customSheetView>
    <customSheetView guid="{28C5C254-2672-4A7F-9398-2FA6F99EE3FF}" scale="110" showGridLines="0" topLeftCell="A3">
      <selection activeCell="D16" sqref="D16"/>
      <pageMargins left="0.7" right="0.7" top="0.75" bottom="0.75" header="0.3" footer="0.3"/>
      <pageSetup orientation="portrait" r:id="rId5"/>
    </customSheetView>
    <customSheetView guid="{9967D63C-4135-4BF7-A83B-0EC0A28A8504}" scale="110" showGridLines="0" topLeftCell="A3">
      <selection activeCell="D16" sqref="D16"/>
      <pageMargins left="0.7" right="0.7" top="0.75" bottom="0.75" header="0.3" footer="0.3"/>
      <pageSetup orientation="portrait" r:id="rId6"/>
    </customSheetView>
    <customSheetView guid="{8DC39A41-9961-4A5C-8659-B8A82A01A470}" scale="110" showGridLines="0">
      <selection activeCell="D16" sqref="D16"/>
      <pageMargins left="0.7" right="0.7" top="0.75" bottom="0.75" header="0.3" footer="0.3"/>
      <pageSetup orientation="portrait" r:id="rId7"/>
    </customSheetView>
    <customSheetView guid="{06F040C9-291C-44DD-A11A-B2BAF2078CA1}" scale="110" showGridLines="0">
      <selection activeCell="D16" sqref="D16"/>
      <pageMargins left="0.7" right="0.7" top="0.75" bottom="0.75" header="0.3" footer="0.3"/>
      <pageSetup orientation="portrait" r:id="rId8"/>
    </customSheetView>
    <customSheetView guid="{AC1AC0BB-7D81-4427-80BF-DB36D3CC12C1}" scale="110" showGridLines="0">
      <selection activeCell="D16" sqref="D16"/>
      <pageMargins left="0.7" right="0.7" top="0.75" bottom="0.75" header="0.3" footer="0.3"/>
      <pageSetup orientation="portrait" r:id="rId9"/>
    </customSheetView>
    <customSheetView guid="{31F90F3E-FB31-437F-ADCE-44D58804C41D}" scale="110" showGridLines="0">
      <selection activeCell="D16" sqref="D16"/>
      <pageMargins left="0.7" right="0.7" top="0.75" bottom="0.75" header="0.3" footer="0.3"/>
      <pageSetup orientation="portrait" r:id="rId10"/>
    </customSheetView>
    <customSheetView guid="{57F7A421-8FD3-4470-813D-526D207C0AED}" scale="110" showGridLines="0">
      <selection activeCell="D16" sqref="D16"/>
      <pageMargins left="0.7" right="0.7" top="0.75" bottom="0.75" header="0.3" footer="0.3"/>
      <pageSetup orientation="portrait" r:id="rId11"/>
    </customSheetView>
    <customSheetView guid="{E065FC95-9F37-4AD0-A6AF-202A080459EB}" scale="110" showGridLines="0">
      <selection activeCell="D16" sqref="D16"/>
      <pageMargins left="0.7" right="0.7" top="0.75" bottom="0.75" header="0.3" footer="0.3"/>
      <pageSetup orientation="portrait" r:id="rId12"/>
    </customSheetView>
    <customSheetView guid="{A979108F-FF23-4967-8663-1A0C9618D854}" scale="110" showGridLines="0">
      <selection activeCell="D16" sqref="D16"/>
      <pageMargins left="0.7" right="0.7" top="0.75" bottom="0.75" header="0.3" footer="0.3"/>
      <pageSetup orientation="portrait" r:id="rId13"/>
    </customSheetView>
    <customSheetView guid="{AD9596A8-734D-48AD-8922-A58933E39AB8}" scale="110" showGridLines="0">
      <selection activeCell="D16" sqref="D16"/>
      <pageMargins left="0.7" right="0.7" top="0.75" bottom="0.75" header="0.3" footer="0.3"/>
      <pageSetup orientation="portrait" r:id="rId14"/>
    </customSheetView>
    <customSheetView guid="{DFB07116-697D-42FF-ACBD-E8FE92938B16}" scale="110" showGridLines="0">
      <selection activeCell="D16" sqref="D16"/>
      <pageMargins left="0.7" right="0.7" top="0.75" bottom="0.75" header="0.3" footer="0.3"/>
      <pageSetup orientation="portrait" r:id="rId15"/>
    </customSheetView>
    <customSheetView guid="{2032DE14-E33D-44B5-9022-A2B48F059704}" scale="110" showGridLines="0" state="hidden">
      <selection activeCell="D16" sqref="D16"/>
      <pageMargins left="0.7" right="0.7" top="0.75" bottom="0.75" header="0.3" footer="0.3"/>
      <pageSetup orientation="portrait" r:id="rId16"/>
    </customSheetView>
    <customSheetView guid="{EE4A95A5-BF42-4BAA-B9EB-84A9230A28F9}" scale="110" showGridLines="0" state="hidden">
      <selection activeCell="D16" sqref="D16"/>
      <pageMargins left="0.7" right="0.7" top="0.75" bottom="0.75" header="0.3" footer="0.3"/>
      <pageSetup orientation="portrait" r:id="rId17"/>
    </customSheetView>
    <customSheetView guid="{8BEA0E04-8B9A-4A2D-9B80-4E7685E22D5E}" scale="110" showGridLines="0" state="hidden">
      <selection activeCell="D16" sqref="D16"/>
      <pageMargins left="0.7" right="0.7" top="0.75" bottom="0.75" header="0.3" footer="0.3"/>
      <pageSetup orientation="portrait" r:id="rId18"/>
    </customSheetView>
    <customSheetView guid="{0125BE01-BBC8-4E5A-9A9A-3D1257916B8C}" scale="110" showGridLines="0" state="hidden">
      <selection activeCell="D16" sqref="D16"/>
      <pageMargins left="0.7" right="0.7" top="0.75" bottom="0.75" header="0.3" footer="0.3"/>
      <pageSetup orientation="portrait" r:id="rId19"/>
    </customSheetView>
    <customSheetView guid="{7A9AB605-DB82-470C-B86B-95E2AB3523F6}" scale="110" showGridLines="0" state="hidden">
      <selection activeCell="D16" sqref="D16"/>
      <pageMargins left="0.7" right="0.7" top="0.75" bottom="0.75" header="0.3" footer="0.3"/>
      <pageSetup orientation="portrait" r:id="rId20"/>
    </customSheetView>
    <customSheetView guid="{FC8D231F-57F9-45EE-9DEF-D7ED111600EB}" scale="110" showGridLines="0" state="hidden">
      <selection activeCell="D16" sqref="D16"/>
      <pageMargins left="0.7" right="0.7" top="0.75" bottom="0.75" header="0.3" footer="0.3"/>
      <pageSetup orientation="portrait" r:id="rId21"/>
    </customSheetView>
    <customSheetView guid="{395DC3D6-3299-4A43-88E2-62703FCC0349}" scale="110" showGridLines="0" state="hidden">
      <selection activeCell="D16" sqref="D16"/>
      <pageMargins left="0.7" right="0.7" top="0.75" bottom="0.75" header="0.3" footer="0.3"/>
      <pageSetup orientation="portrait" r:id="rId22"/>
    </customSheetView>
    <customSheetView guid="{5C8F4C13-387F-42D2-8CB5-92C4886D7919}" scale="110" showGridLines="0" state="hidden">
      <selection activeCell="D16" sqref="D16"/>
      <pageMargins left="0.7" right="0.7" top="0.75" bottom="0.75" header="0.3" footer="0.3"/>
      <pageSetup orientation="portrait" r:id="rId23"/>
    </customSheetView>
    <customSheetView guid="{8A25BF65-C908-4B2F-9805-3CD39BD4330E}" scale="110" showGridLines="0" state="hidden">
      <selection activeCell="D16" sqref="D16"/>
      <pageMargins left="0.7" right="0.7" top="0.75" bottom="0.75" header="0.3" footer="0.3"/>
      <pageSetup orientation="portrait" r:id="rId24"/>
    </customSheetView>
    <customSheetView guid="{F9A03991-7A83-41AE-B603-3D22265CDA22}" scale="110" showGridLines="0" state="hidden">
      <selection activeCell="D16" sqref="D16"/>
      <pageMargins left="0.7" right="0.7" top="0.75" bottom="0.75" header="0.3" footer="0.3"/>
      <pageSetup orientation="portrait" r:id="rId25"/>
    </customSheetView>
    <customSheetView guid="{FEB5A49F-F7F7-412A-BE72-F90F7A4799C8}" scale="110" showGridLines="0" state="hidden">
      <selection activeCell="D16" sqref="D16"/>
      <pageMargins left="0.7" right="0.7" top="0.75" bottom="0.75" header="0.3" footer="0.3"/>
      <pageSetup orientation="portrait" r:id="rId26"/>
    </customSheetView>
    <customSheetView guid="{F518ECB9-5D92-41E0-BFD2-C5175A02444D}" scale="110" showGridLines="0" state="hidden">
      <selection activeCell="D16" sqref="D16"/>
      <pageMargins left="0.7" right="0.7" top="0.75" bottom="0.75" header="0.3" footer="0.3"/>
      <pageSetup orientation="portrait" r:id="rId27"/>
    </customSheetView>
    <customSheetView guid="{BCAB4838-A37A-4BCF-A9C9-CC50C95F58C7}" scale="110" showGridLines="0" state="hidden">
      <selection activeCell="D16" sqref="D16"/>
      <pageMargins left="0.7" right="0.7" top="0.75" bottom="0.75" header="0.3" footer="0.3"/>
      <pageSetup orientation="portrait" r:id="rId28"/>
    </customSheetView>
    <customSheetView guid="{C4FE72FA-CBE8-407E-8EC2-C280F8FC5007}" scale="110" showGridLines="0" state="hidden">
      <selection activeCell="D16" sqref="D16"/>
      <pageMargins left="0.7" right="0.7" top="0.75" bottom="0.75" header="0.3" footer="0.3"/>
      <pageSetup orientation="portrait" r:id="rId29"/>
    </customSheetView>
    <customSheetView guid="{38FB2C7A-5CFF-4CFC-8EEB-670D05614592}" scale="110" showGridLines="0" state="hidden">
      <selection activeCell="D16" sqref="D16"/>
      <pageMargins left="0.7" right="0.7" top="0.75" bottom="0.75" header="0.3" footer="0.3"/>
      <pageSetup orientation="portrait" r:id="rId30"/>
    </customSheetView>
    <customSheetView guid="{40292D04-273C-4BA2-8BEC-F145CB80DE09}" scale="110" showGridLines="0" state="hidden">
      <selection activeCell="D16" sqref="D16"/>
      <pageMargins left="0.7" right="0.7" top="0.75" bottom="0.75" header="0.3" footer="0.3"/>
      <pageSetup orientation="portrait" r:id="rId31"/>
    </customSheetView>
    <customSheetView guid="{3803F984-A279-41F1-A517-160B18D90A7B}" scale="110" showGridLines="0" state="hidden">
      <selection activeCell="D16" sqref="D16"/>
      <pageMargins left="0.7" right="0.7" top="0.75" bottom="0.75" header="0.3" footer="0.3"/>
      <pageSetup orientation="portrait" r:id="rId32"/>
    </customSheetView>
    <customSheetView guid="{66733AAA-1B52-4C53-8317-97DE8A748E25}" scale="110" showGridLines="0" state="hidden">
      <selection activeCell="D16" sqref="D16"/>
      <pageMargins left="0.7" right="0.7" top="0.75" bottom="0.75" header="0.3" footer="0.3"/>
      <pageSetup orientation="portrait" r:id="rId33"/>
    </customSheetView>
    <customSheetView guid="{7FCE83C1-0279-4E15-8ADF-7AE60DC9131C}" scale="110" showGridLines="0" state="hidden">
      <selection activeCell="D16" sqref="D16"/>
      <pageMargins left="0.7" right="0.7" top="0.75" bottom="0.75" header="0.3" footer="0.3"/>
      <pageSetup orientation="portrait" r:id="rId34"/>
    </customSheetView>
    <customSheetView guid="{F92D650A-7143-46D6-8CDA-595FA977193F}" scale="110" showGridLines="0" state="hidden">
      <selection activeCell="D16" sqref="D16"/>
      <pageMargins left="0.7" right="0.7" top="0.75" bottom="0.75" header="0.3" footer="0.3"/>
      <pageSetup orientation="portrait" r:id="rId35"/>
    </customSheetView>
    <customSheetView guid="{C2D3B09E-3326-4084-AD7A-C8013F4130D6}" scale="110" showGridLines="0" state="hidden">
      <selection activeCell="D16" sqref="D16"/>
      <pageMargins left="0.7" right="0.7" top="0.75" bottom="0.75" header="0.3" footer="0.3"/>
      <pageSetup orientation="portrait" r:id="rId36"/>
    </customSheetView>
    <customSheetView guid="{E1A67331-473F-4161-806C-BE35870C93B5}" scale="110" showGridLines="0" state="hidden">
      <selection activeCell="D16" sqref="D16"/>
      <pageMargins left="0.7" right="0.7" top="0.75" bottom="0.75" header="0.3" footer="0.3"/>
      <pageSetup orientation="portrait" r:id="rId37"/>
    </customSheetView>
    <customSheetView guid="{CC562453-1E6B-4010-9E1B-775397A26EFA}" scale="110" showGridLines="0" state="hidden">
      <selection activeCell="D16" sqref="D16"/>
      <pageMargins left="0.7" right="0.7" top="0.75" bottom="0.75" header="0.3" footer="0.3"/>
      <pageSetup orientation="portrait" r:id="rId38"/>
    </customSheetView>
    <customSheetView guid="{644A6A80-0D34-48F6-A071-17016DCD2D6E}" scale="110" showGridLines="0" state="hidden">
      <selection activeCell="D16" sqref="D16"/>
      <pageMargins left="0.7" right="0.7" top="0.75" bottom="0.75" header="0.3" footer="0.3"/>
      <pageSetup orientation="portrait" r:id="rId39"/>
    </customSheetView>
    <customSheetView guid="{C65059E8-30E8-488B-A0E9-1B7961920C81}" scale="110" showGridLines="0" state="hidden">
      <selection activeCell="D16" sqref="D16"/>
      <pageMargins left="0.7" right="0.7" top="0.75" bottom="0.75" header="0.3" footer="0.3"/>
      <pageSetup orientation="portrait" r:id="rId40"/>
    </customSheetView>
    <customSheetView guid="{95D39BA8-2B16-4954-ABAC-09AD33A86339}" scale="110" showGridLines="0" state="hidden">
      <selection activeCell="D16" sqref="D16"/>
      <pageMargins left="0.7" right="0.7" top="0.75" bottom="0.75" header="0.3" footer="0.3"/>
      <pageSetup orientation="portrait" r:id="rId41"/>
    </customSheetView>
    <customSheetView guid="{25A4A7C0-9593-456C-861C-76D101D3FE93}" scale="110" showGridLines="0" state="hidden">
      <selection activeCell="D16" sqref="D16"/>
      <pageMargins left="0.7" right="0.7" top="0.75" bottom="0.75" header="0.3" footer="0.3"/>
      <pageSetup orientation="portrait" r:id="rId42"/>
    </customSheetView>
    <customSheetView guid="{51BA8A3D-4711-49ED-89E2-EBC09DF2AEDC}" scale="110" showGridLines="0" state="hidden">
      <selection activeCell="D16" sqref="D16"/>
      <pageMargins left="0.7" right="0.7" top="0.75" bottom="0.75" header="0.3" footer="0.3"/>
      <pageSetup orientation="portrait" r:id="rId43"/>
    </customSheetView>
    <customSheetView guid="{629A478C-29B1-4F25-A016-63CE32A1627F}" scale="110" showGridLines="0" state="hidden">
      <selection activeCell="D16" sqref="D16"/>
      <pageMargins left="0.7" right="0.7" top="0.75" bottom="0.75" header="0.3" footer="0.3"/>
      <pageSetup orientation="portrait" r:id="rId44"/>
    </customSheetView>
    <customSheetView guid="{F789A6E6-3D06-4D93-BF02-46FA1A2548B2}" scale="110" showGridLines="0" state="hidden">
      <selection activeCell="D16" sqref="D16"/>
      <pageMargins left="0.7" right="0.7" top="0.75" bottom="0.75" header="0.3" footer="0.3"/>
      <pageSetup orientation="portrait" r:id="rId45"/>
    </customSheetView>
    <customSheetView guid="{15D7A002-B247-4A6B-A16B-61BDD9B0066A}" scale="110" showGridLines="0" state="hidden">
      <selection activeCell="D16" sqref="D16"/>
      <pageMargins left="0.7" right="0.7" top="0.75" bottom="0.75" header="0.3" footer="0.3"/>
      <pageSetup orientation="portrait" r:id="rId46"/>
    </customSheetView>
    <customSheetView guid="{9AFCAA87-4888-4976-A7C9-C06A34CB6C97}" scale="110" showGridLines="0" state="hidden">
      <selection activeCell="D16" sqref="D16"/>
      <pageMargins left="0.7" right="0.7" top="0.75" bottom="0.75" header="0.3" footer="0.3"/>
      <pageSetup orientation="portrait" r:id="rId47"/>
    </customSheetView>
    <customSheetView guid="{E4FF7DB9-14DF-49DB-9F59-1898DDED4DCE}" scale="110" showGridLines="0" state="hidden">
      <selection activeCell="D16" sqref="D16"/>
      <pageMargins left="0.7" right="0.7" top="0.75" bottom="0.75" header="0.3" footer="0.3"/>
      <pageSetup orientation="portrait" r:id="rId48"/>
    </customSheetView>
    <customSheetView guid="{EC7537C6-1678-41C1-B788-EF4AFFECF769}" scale="110" showGridLines="0" state="hidden">
      <selection activeCell="D16" sqref="D16"/>
      <pageMargins left="0.7" right="0.7" top="0.75" bottom="0.75" header="0.3" footer="0.3"/>
      <pageSetup orientation="portrait" r:id="rId49"/>
    </customSheetView>
    <customSheetView guid="{1920E7A3-1C9F-4320-81BB-D11544051025}" scale="110" showGridLines="0" state="hidden">
      <selection activeCell="D16" sqref="D16"/>
      <pageMargins left="0.7" right="0.7" top="0.75" bottom="0.75" header="0.3" footer="0.3"/>
      <pageSetup orientation="portrait" r:id="rId50"/>
    </customSheetView>
    <customSheetView guid="{02D27969-4CD1-473E-A0E8-856AB0664DE8}" scale="110" showGridLines="0" state="hidden">
      <selection activeCell="D16" sqref="D16"/>
      <pageMargins left="0.7" right="0.7" top="0.75" bottom="0.75" header="0.3" footer="0.3"/>
      <pageSetup orientation="portrait" r:id="rId51"/>
    </customSheetView>
    <customSheetView guid="{422703F6-63C4-435C-AFE7-1030286678F6}" scale="110" showGridLines="0" state="hidden">
      <selection activeCell="D16" sqref="D16"/>
      <pageMargins left="0.7" right="0.7" top="0.75" bottom="0.75" header="0.3" footer="0.3"/>
      <pageSetup orientation="portrait" r:id="rId52"/>
    </customSheetView>
    <customSheetView guid="{F3CB97AD-592C-4B6E-8AE3-1CD47479060C}" scale="110" showGridLines="0" state="hidden">
      <selection activeCell="D16" sqref="D16"/>
      <pageMargins left="0.7" right="0.7" top="0.75" bottom="0.75" header="0.3" footer="0.3"/>
      <pageSetup orientation="portrait" r:id="rId53"/>
    </customSheetView>
    <customSheetView guid="{19DA6E7F-8950-4769-9BBE-2798EFA465A3}" scale="110" showGridLines="0" state="hidden">
      <selection activeCell="D16" sqref="D16"/>
      <pageMargins left="0.7" right="0.7" top="0.75" bottom="0.75" header="0.3" footer="0.3"/>
      <pageSetup orientation="portrait" r:id="rId54"/>
    </customSheetView>
    <customSheetView guid="{47C01131-7443-4080-A2BB-6B6AA35C6913}" scale="110" showGridLines="0" state="hidden">
      <selection activeCell="D16" sqref="D16"/>
      <pageMargins left="0.7" right="0.7" top="0.75" bottom="0.75" header="0.3" footer="0.3"/>
      <pageSetup orientation="portrait" r:id="rId55"/>
    </customSheetView>
    <customSheetView guid="{C7330417-67A9-44CF-917F-5F5E2F191AD4}" scale="110" showGridLines="0" state="hidden">
      <selection activeCell="D16" sqref="D16"/>
      <pageMargins left="0.7" right="0.7" top="0.75" bottom="0.75" header="0.3" footer="0.3"/>
      <pageSetup orientation="portrait" r:id="rId56"/>
    </customSheetView>
    <customSheetView guid="{EBA5E9C4-A2DB-4DF0-BF75-1243E968318E}" scale="110" showGridLines="0" state="hidden">
      <selection activeCell="D16" sqref="D16"/>
      <pageMargins left="0.7" right="0.7" top="0.75" bottom="0.75" header="0.3" footer="0.3"/>
      <pageSetup orientation="portrait" r:id="rId57"/>
    </customSheetView>
    <customSheetView guid="{7A7FC9A5-F2B5-4894-82BC-4528575F10D4}" scale="110" showGridLines="0" state="hidden">
      <selection activeCell="D16" sqref="D16"/>
      <pageMargins left="0.7" right="0.7" top="0.75" bottom="0.75" header="0.3" footer="0.3"/>
      <pageSetup orientation="portrait" r:id="rId58"/>
    </customSheetView>
    <customSheetView guid="{6194C141-D0A1-4D58-BA55-90A184525AC3}" scale="110" showGridLines="0" state="hidden">
      <selection activeCell="D16" sqref="D16"/>
      <pageMargins left="0.7" right="0.7" top="0.75" bottom="0.75" header="0.3" footer="0.3"/>
      <pageSetup orientation="portrait" r:id="rId59"/>
    </customSheetView>
    <customSheetView guid="{A5292A6B-6F92-4AB3-B051-EF87F39FC489}" scale="110" showGridLines="0" state="hidden">
      <selection activeCell="D16" sqref="D16"/>
      <pageMargins left="0.7" right="0.7" top="0.75" bottom="0.75" header="0.3" footer="0.3"/>
      <pageSetup orientation="portrait" r:id="rId60"/>
    </customSheetView>
    <customSheetView guid="{C090DFAD-A23A-4678-87F2-095D84EBDDE8}" scale="110" showGridLines="0" state="hidden">
      <selection activeCell="D16" sqref="D16"/>
      <pageMargins left="0.7" right="0.7" top="0.75" bottom="0.75" header="0.3" footer="0.3"/>
      <pageSetup orientation="portrait" r:id="rId61"/>
    </customSheetView>
    <customSheetView guid="{4F11E31F-E14C-416D-BB97-C8CE74658FBE}" scale="110" showGridLines="0" state="hidden">
      <selection activeCell="D16" sqref="D16"/>
      <pageMargins left="0.7" right="0.7" top="0.75" bottom="0.75" header="0.3" footer="0.3"/>
      <pageSetup orientation="portrait" r:id="rId62"/>
    </customSheetView>
    <customSheetView guid="{F2A17A28-A3DF-492D-BAE9-AAEF2A13397B}" scale="110" showGridLines="0" state="hidden">
      <selection activeCell="D16" sqref="D16"/>
      <pageMargins left="0.7" right="0.7" top="0.75" bottom="0.75" header="0.3" footer="0.3"/>
      <pageSetup orientation="portrait" r:id="rId63"/>
    </customSheetView>
    <customSheetView guid="{8F332A92-7271-4FEC-B085-C15AA232FE21}" scale="110" showGridLines="0" state="hidden">
      <selection activeCell="D16" sqref="D16"/>
      <pageMargins left="0.7" right="0.7" top="0.75" bottom="0.75" header="0.3" footer="0.3"/>
      <pageSetup orientation="portrait" r:id="rId64"/>
    </customSheetView>
    <customSheetView guid="{6B1EB7F4-EF59-450E-A531-475C3A6E6150}" scale="110" showGridLines="0" state="hidden">
      <selection activeCell="D16" sqref="D16"/>
      <pageMargins left="0.7" right="0.7" top="0.75" bottom="0.75" header="0.3" footer="0.3"/>
      <pageSetup orientation="portrait" r:id="rId65"/>
    </customSheetView>
    <customSheetView guid="{8EBF087E-11C5-42EE-B564-FAEE72C86C17}" scale="110" showGridLines="0" state="hidden">
      <selection activeCell="D16" sqref="D16"/>
      <pageMargins left="0.7" right="0.7" top="0.75" bottom="0.75" header="0.3" footer="0.3"/>
      <pageSetup orientation="portrait" r:id="rId66"/>
    </customSheetView>
    <customSheetView guid="{F716839F-5448-40FC-95BC-286199FD6764}" scale="110" showGridLines="0" state="hidden">
      <selection activeCell="D16" sqref="D16"/>
      <pageMargins left="0.7" right="0.7" top="0.75" bottom="0.75" header="0.3" footer="0.3"/>
      <pageSetup orientation="portrait" r:id="rId67"/>
    </customSheetView>
    <customSheetView guid="{E712F22D-DF79-4936-B86B-186E637372BF}" scale="110" showGridLines="0" state="hidden">
      <selection activeCell="D16" sqref="D16"/>
      <pageMargins left="0.7" right="0.7" top="0.75" bottom="0.75" header="0.3" footer="0.3"/>
      <pageSetup orientation="portrait" r:id="rId68"/>
    </customSheetView>
    <customSheetView guid="{672B3D91-11D6-418C-A856-9FF74CE5E6FB}" scale="110" showGridLines="0" state="hidden">
      <selection activeCell="D16" sqref="D16"/>
      <pageMargins left="0.7" right="0.7" top="0.75" bottom="0.75" header="0.3" footer="0.3"/>
      <pageSetup orientation="portrait" r:id="rId69"/>
    </customSheetView>
    <customSheetView guid="{5B4753E1-B7DC-40C2-A28F-B07A6CB075FE}" scale="110" showGridLines="0" state="hidden">
      <selection activeCell="D16" sqref="D16"/>
      <pageMargins left="0.7" right="0.7" top="0.75" bottom="0.75" header="0.3" footer="0.3"/>
      <pageSetup orientation="portrait" r:id="rId70"/>
    </customSheetView>
    <customSheetView guid="{EF2006E2-DE9B-4938-AD6F-8255BE7D529F}" scale="110" showGridLines="0" state="hidden">
      <selection activeCell="D16" sqref="D16"/>
      <pageMargins left="0.7" right="0.7" top="0.75" bottom="0.75" header="0.3" footer="0.3"/>
      <pageSetup orientation="portrait" r:id="rId71"/>
    </customSheetView>
    <customSheetView guid="{0BFB30CE-F6D9-44B3-99BA-62858BF46600}" scale="110" showGridLines="0" state="hidden">
      <selection activeCell="D16" sqref="D16"/>
      <pageMargins left="0.7" right="0.7" top="0.75" bottom="0.75" header="0.3" footer="0.3"/>
      <pageSetup orientation="portrait" r:id="rId72"/>
    </customSheetView>
    <customSheetView guid="{E3977DAC-58A9-43A5-A2CD-037AE84A3934}" scale="110" showGridLines="0" state="hidden">
      <selection activeCell="D16" sqref="D16"/>
      <pageMargins left="0.7" right="0.7" top="0.75" bottom="0.75" header="0.3" footer="0.3"/>
      <pageSetup orientation="portrait" r:id="rId73"/>
    </customSheetView>
    <customSheetView guid="{E18774DE-EF27-4708-91D7-FE2A7EE4C992}" scale="110" showGridLines="0" state="hidden">
      <selection activeCell="D16" sqref="D16"/>
      <pageMargins left="0.7" right="0.7" top="0.75" bottom="0.75" header="0.3" footer="0.3"/>
      <pageSetup orientation="portrait" r:id="rId74"/>
    </customSheetView>
    <customSheetView guid="{F102CDDA-1DB7-4BD5-8A8F-CD5640485596}" scale="110" showGridLines="0" state="hidden">
      <selection activeCell="D16" sqref="D16"/>
      <pageMargins left="0.7" right="0.7" top="0.75" bottom="0.75" header="0.3" footer="0.3"/>
      <pageSetup orientation="portrait" r:id="rId75"/>
    </customSheetView>
    <customSheetView guid="{A3C7F73E-8288-4122-801A-9A426BB0DFB8}" scale="110" showGridLines="0" state="hidden">
      <selection activeCell="D16" sqref="D16"/>
      <pageMargins left="0.7" right="0.7" top="0.75" bottom="0.75" header="0.3" footer="0.3"/>
      <pageSetup orientation="portrait" r:id="rId76"/>
    </customSheetView>
    <customSheetView guid="{C1FEC2CE-0AE0-4F12-8438-BD3D230D3830}" scale="110" showGridLines="0" state="hidden">
      <selection activeCell="D16" sqref="D16"/>
      <pageMargins left="0.7" right="0.7" top="0.75" bottom="0.75" header="0.3" footer="0.3"/>
      <pageSetup orientation="portrait" r:id="rId77"/>
    </customSheetView>
    <customSheetView guid="{576A445C-3D9A-438D-AC68-B679E3D65634}" scale="110" showGridLines="0" state="hidden">
      <selection activeCell="D16" sqref="D16"/>
      <pageMargins left="0.7" right="0.7" top="0.75" bottom="0.75" header="0.3" footer="0.3"/>
      <pageSetup orientation="portrait" r:id="rId78"/>
    </customSheetView>
  </customSheetViews>
  <mergeCells count="6">
    <mergeCell ref="B5:D5"/>
    <mergeCell ref="F5:H5"/>
    <mergeCell ref="J5:L5"/>
    <mergeCell ref="B16:C16"/>
    <mergeCell ref="F16:G16"/>
    <mergeCell ref="J16:K16"/>
  </mergeCells>
  <conditionalFormatting sqref="D16">
    <cfRule type="expression" dxfId="17" priority="3">
      <formula>D$16=D$17</formula>
    </cfRule>
  </conditionalFormatting>
  <conditionalFormatting sqref="H16">
    <cfRule type="expression" dxfId="16" priority="2">
      <formula>H$16=H$17</formula>
    </cfRule>
  </conditionalFormatting>
  <conditionalFormatting sqref="L16">
    <cfRule type="expression" dxfId="15" priority="1">
      <formula>L$16=L$17</formula>
    </cfRule>
  </conditionalFormatting>
  <pageMargins left="0.7" right="0.7" top="0.75" bottom="0.75" header="0.3" footer="0.3"/>
  <pageSetup orientation="portrait" r:id="rId7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5:L17"/>
  <sheetViews>
    <sheetView showGridLines="0" zoomScale="110" zoomScaleNormal="110" workbookViewId="0">
      <selection activeCell="D16" sqref="D16"/>
    </sheetView>
  </sheetViews>
  <sheetFormatPr defaultRowHeight="18.75" x14ac:dyDescent="0.3"/>
  <cols>
    <col min="1" max="1" width="13.42578125" style="5" customWidth="1"/>
    <col min="2" max="2" width="17.140625" style="5" bestFit="1" customWidth="1"/>
    <col min="3" max="3" width="8.28515625" style="5" bestFit="1" customWidth="1"/>
    <col min="4" max="4" width="13.85546875" style="5" bestFit="1" customWidth="1"/>
    <col min="5" max="5" width="11.42578125" style="5" customWidth="1"/>
    <col min="6" max="6" width="17.140625" style="5" bestFit="1" customWidth="1"/>
    <col min="7" max="7" width="9.85546875" style="5" bestFit="1" customWidth="1"/>
    <col min="8" max="8" width="13.85546875" style="5" bestFit="1" customWidth="1"/>
    <col min="9" max="9" width="9.140625" style="5"/>
    <col min="10" max="10" width="17.140625" style="5" bestFit="1" customWidth="1"/>
    <col min="11" max="11" width="8.28515625" style="5" bestFit="1" customWidth="1"/>
    <col min="12" max="12" width="13.85546875" style="5" bestFit="1" customWidth="1"/>
    <col min="13" max="16384" width="9.140625" style="5"/>
  </cols>
  <sheetData>
    <row r="5" spans="2:12" x14ac:dyDescent="0.3">
      <c r="B5" s="20" t="s">
        <v>19</v>
      </c>
      <c r="C5" s="20"/>
      <c r="D5" s="20"/>
      <c r="F5" s="20" t="s">
        <v>20</v>
      </c>
      <c r="G5" s="20"/>
      <c r="H5" s="20"/>
      <c r="J5" s="20" t="s">
        <v>21</v>
      </c>
      <c r="K5" s="20"/>
      <c r="L5" s="20"/>
    </row>
    <row r="6" spans="2:12" x14ac:dyDescent="0.3">
      <c r="B6" s="10" t="s">
        <v>17</v>
      </c>
      <c r="C6" s="10" t="s">
        <v>16</v>
      </c>
      <c r="D6" s="10" t="s">
        <v>15</v>
      </c>
      <c r="E6" s="9"/>
      <c r="F6" s="10" t="s">
        <v>17</v>
      </c>
      <c r="G6" s="10" t="s">
        <v>16</v>
      </c>
      <c r="H6" s="10" t="s">
        <v>15</v>
      </c>
      <c r="I6" s="9"/>
      <c r="J6" s="10" t="s">
        <v>17</v>
      </c>
      <c r="K6" s="10" t="s">
        <v>16</v>
      </c>
      <c r="L6" s="10" t="s">
        <v>15</v>
      </c>
    </row>
    <row r="7" spans="2:12" x14ac:dyDescent="0.3">
      <c r="B7" s="6" t="s">
        <v>13</v>
      </c>
      <c r="C7" s="6">
        <v>7.85</v>
      </c>
      <c r="D7" s="6" t="s">
        <v>12</v>
      </c>
      <c r="E7" s="7" t="str">
        <f t="shared" ref="E7:E12" si="0">_xlfn.IFS(B7&gt;=6,"Yes, it is over 6")</f>
        <v>Yes, it is over 6</v>
      </c>
      <c r="F7" s="6" t="s">
        <v>13</v>
      </c>
      <c r="G7" s="6">
        <v>10.25</v>
      </c>
      <c r="H7" s="6" t="s">
        <v>12</v>
      </c>
      <c r="J7" s="6" t="s">
        <v>7</v>
      </c>
      <c r="K7" s="6">
        <v>9.65</v>
      </c>
      <c r="L7" s="6" t="s">
        <v>6</v>
      </c>
    </row>
    <row r="8" spans="2:12" x14ac:dyDescent="0.3">
      <c r="B8" s="6" t="s">
        <v>11</v>
      </c>
      <c r="C8" s="6">
        <v>3.25</v>
      </c>
      <c r="D8" s="6" t="s">
        <v>10</v>
      </c>
      <c r="E8" s="7" t="str">
        <f t="shared" si="0"/>
        <v>Yes, it is over 6</v>
      </c>
      <c r="F8" s="6" t="s">
        <v>13</v>
      </c>
      <c r="G8" s="6">
        <v>9.75</v>
      </c>
      <c r="H8" s="6" t="s">
        <v>12</v>
      </c>
      <c r="J8" s="6" t="s">
        <v>7</v>
      </c>
      <c r="K8" s="8">
        <v>5.5</v>
      </c>
      <c r="L8" s="6" t="s">
        <v>6</v>
      </c>
    </row>
    <row r="9" spans="2:12" ht="21" customHeight="1" x14ac:dyDescent="0.3">
      <c r="B9" s="6" t="s">
        <v>9</v>
      </c>
      <c r="C9" s="6">
        <v>0</v>
      </c>
      <c r="D9" s="6" t="s">
        <v>8</v>
      </c>
      <c r="E9" s="7" t="str">
        <f t="shared" si="0"/>
        <v>Yes, it is over 6</v>
      </c>
      <c r="F9" s="6" t="s">
        <v>2</v>
      </c>
      <c r="G9" s="6">
        <v>5.25</v>
      </c>
      <c r="H9" s="6" t="s">
        <v>1</v>
      </c>
      <c r="J9" s="6" t="s">
        <v>11</v>
      </c>
      <c r="K9" s="8">
        <v>4.5</v>
      </c>
      <c r="L9" s="6" t="s">
        <v>10</v>
      </c>
    </row>
    <row r="10" spans="2:12" x14ac:dyDescent="0.3">
      <c r="B10" s="6" t="s">
        <v>7</v>
      </c>
      <c r="C10" s="6">
        <v>6.35</v>
      </c>
      <c r="D10" s="6" t="s">
        <v>6</v>
      </c>
      <c r="E10" s="7" t="str">
        <f t="shared" si="0"/>
        <v>Yes, it is over 6</v>
      </c>
      <c r="F10" s="6" t="s">
        <v>4</v>
      </c>
      <c r="G10" s="6">
        <v>3.75</v>
      </c>
      <c r="H10" s="6" t="s">
        <v>3</v>
      </c>
      <c r="J10" s="6" t="s">
        <v>9</v>
      </c>
      <c r="K10" s="8">
        <v>10.25</v>
      </c>
      <c r="L10" s="6" t="s">
        <v>8</v>
      </c>
    </row>
    <row r="11" spans="2:12" x14ac:dyDescent="0.3">
      <c r="B11" s="6" t="s">
        <v>4</v>
      </c>
      <c r="C11" s="6">
        <v>2.5</v>
      </c>
      <c r="D11" s="6" t="s">
        <v>3</v>
      </c>
      <c r="E11" s="7" t="str">
        <f t="shared" si="0"/>
        <v>Yes, it is over 6</v>
      </c>
      <c r="F11" s="6" t="s">
        <v>9</v>
      </c>
      <c r="G11" s="8">
        <v>11.99</v>
      </c>
      <c r="H11" s="6" t="s">
        <v>8</v>
      </c>
      <c r="J11" s="6" t="s">
        <v>4</v>
      </c>
      <c r="K11" s="8">
        <v>6.5</v>
      </c>
      <c r="L11" s="6" t="s">
        <v>3</v>
      </c>
    </row>
    <row r="12" spans="2:12" x14ac:dyDescent="0.3">
      <c r="B12" s="6" t="s">
        <v>2</v>
      </c>
      <c r="C12" s="6">
        <v>6.5</v>
      </c>
      <c r="D12" s="6" t="s">
        <v>1</v>
      </c>
      <c r="E12" s="7" t="str">
        <f t="shared" si="0"/>
        <v>Yes, it is over 6</v>
      </c>
      <c r="F12" s="6" t="s">
        <v>11</v>
      </c>
      <c r="G12" s="8">
        <v>5.5</v>
      </c>
      <c r="H12" s="6" t="s">
        <v>10</v>
      </c>
      <c r="J12" s="6" t="s">
        <v>2</v>
      </c>
      <c r="K12" s="6">
        <v>9.25</v>
      </c>
      <c r="L12" s="6" t="s">
        <v>1</v>
      </c>
    </row>
    <row r="13" spans="2:12" x14ac:dyDescent="0.3">
      <c r="B13" s="6" t="s">
        <v>13</v>
      </c>
      <c r="C13" s="6">
        <v>8.75</v>
      </c>
      <c r="D13" s="6" t="s">
        <v>12</v>
      </c>
      <c r="F13" s="6" t="s">
        <v>7</v>
      </c>
      <c r="G13" s="8">
        <v>7</v>
      </c>
      <c r="H13" s="6" t="s">
        <v>6</v>
      </c>
      <c r="J13" s="6" t="s">
        <v>13</v>
      </c>
      <c r="K13" s="8">
        <v>7.4</v>
      </c>
      <c r="L13" s="6" t="s">
        <v>12</v>
      </c>
    </row>
    <row r="14" spans="2:12" x14ac:dyDescent="0.3">
      <c r="B14" s="6" t="s">
        <v>7</v>
      </c>
      <c r="C14" s="6">
        <v>4.6500000000000004</v>
      </c>
      <c r="D14" s="6" t="s">
        <v>6</v>
      </c>
      <c r="F14" s="6" t="s">
        <v>7</v>
      </c>
      <c r="G14" s="8">
        <v>4.5</v>
      </c>
      <c r="H14" s="6" t="s">
        <v>6</v>
      </c>
      <c r="J14" s="6" t="s">
        <v>13</v>
      </c>
      <c r="K14" s="6">
        <v>8.75</v>
      </c>
      <c r="L14" s="6" t="s">
        <v>12</v>
      </c>
    </row>
    <row r="16" spans="2:12" ht="51.75" customHeight="1" x14ac:dyDescent="0.3">
      <c r="B16" s="21" t="s">
        <v>28</v>
      </c>
      <c r="C16" s="21"/>
      <c r="D16" s="11"/>
      <c r="F16" s="21" t="s">
        <v>31</v>
      </c>
      <c r="G16" s="21"/>
      <c r="H16" s="11"/>
      <c r="J16" s="21" t="s">
        <v>32</v>
      </c>
      <c r="K16" s="21"/>
      <c r="L16" s="11"/>
    </row>
    <row r="17" spans="4:12" x14ac:dyDescent="0.3">
      <c r="D17" s="7">
        <f>COUNT(C7:C14,G7:G14,K7:K14)</f>
        <v>24</v>
      </c>
      <c r="H17" s="7">
        <f>COUNT(G7:G14)</f>
        <v>8</v>
      </c>
      <c r="L17" s="7">
        <f>COUNT(G7:G14,K7:K14)</f>
        <v>16</v>
      </c>
    </row>
  </sheetData>
  <customSheetViews>
    <customSheetView guid="{4725FB26-BADE-478E-8CB6-C0172942A9EE}" scale="110" showGridLines="0" topLeftCell="A3">
      <selection activeCell="D16" sqref="D16"/>
      <pageMargins left="0.7" right="0.7" top="0.75" bottom="0.75" header="0.3" footer="0.3"/>
      <pageSetup orientation="portrait" r:id="rId1"/>
    </customSheetView>
    <customSheetView guid="{5B82F60B-B869-45D3-9A7D-2B843E789197}" scale="110" showGridLines="0" topLeftCell="A3">
      <selection activeCell="D16" sqref="D16"/>
      <pageMargins left="0.7" right="0.7" top="0.75" bottom="0.75" header="0.3" footer="0.3"/>
      <pageSetup orientation="portrait" r:id="rId2"/>
    </customSheetView>
    <customSheetView guid="{73745901-4C3A-49DD-83C4-0AEBB167DB63}" scale="110" showGridLines="0" topLeftCell="A3">
      <selection activeCell="D16" sqref="D16"/>
      <pageMargins left="0.7" right="0.7" top="0.75" bottom="0.75" header="0.3" footer="0.3"/>
      <pageSetup orientation="portrait" r:id="rId3"/>
    </customSheetView>
    <customSheetView guid="{AE37E6D9-7485-4A75-9115-FDBD1A6E08D0}" scale="110" showGridLines="0" topLeftCell="A3">
      <selection activeCell="D16" sqref="D16"/>
      <pageMargins left="0.7" right="0.7" top="0.75" bottom="0.75" header="0.3" footer="0.3"/>
      <pageSetup orientation="portrait" r:id="rId4"/>
    </customSheetView>
    <customSheetView guid="{28C5C254-2672-4A7F-9398-2FA6F99EE3FF}" scale="110" showGridLines="0" topLeftCell="A3">
      <selection activeCell="D16" sqref="D16"/>
      <pageMargins left="0.7" right="0.7" top="0.75" bottom="0.75" header="0.3" footer="0.3"/>
      <pageSetup orientation="portrait" r:id="rId5"/>
    </customSheetView>
    <customSheetView guid="{9967D63C-4135-4BF7-A83B-0EC0A28A8504}" scale="110" showGridLines="0" topLeftCell="A3">
      <selection activeCell="D16" sqref="D16"/>
      <pageMargins left="0.7" right="0.7" top="0.75" bottom="0.75" header="0.3" footer="0.3"/>
      <pageSetup orientation="portrait" r:id="rId6"/>
    </customSheetView>
    <customSheetView guid="{8DC39A41-9961-4A5C-8659-B8A82A01A470}" scale="110" showGridLines="0">
      <selection activeCell="D16" sqref="D16"/>
      <pageMargins left="0.7" right="0.7" top="0.75" bottom="0.75" header="0.3" footer="0.3"/>
      <pageSetup orientation="portrait" r:id="rId7"/>
    </customSheetView>
    <customSheetView guid="{06F040C9-291C-44DD-A11A-B2BAF2078CA1}" scale="110" showGridLines="0">
      <selection activeCell="D16" sqref="D16"/>
      <pageMargins left="0.7" right="0.7" top="0.75" bottom="0.75" header="0.3" footer="0.3"/>
      <pageSetup orientation="portrait" r:id="rId8"/>
    </customSheetView>
    <customSheetView guid="{AC1AC0BB-7D81-4427-80BF-DB36D3CC12C1}" scale="110" showGridLines="0">
      <selection activeCell="D16" sqref="D16"/>
      <pageMargins left="0.7" right="0.7" top="0.75" bottom="0.75" header="0.3" footer="0.3"/>
      <pageSetup orientation="portrait" r:id="rId9"/>
    </customSheetView>
    <customSheetView guid="{31F90F3E-FB31-437F-ADCE-44D58804C41D}" scale="110" showGridLines="0">
      <selection activeCell="D16" sqref="D16"/>
      <pageMargins left="0.7" right="0.7" top="0.75" bottom="0.75" header="0.3" footer="0.3"/>
      <pageSetup orientation="portrait" r:id="rId10"/>
    </customSheetView>
    <customSheetView guid="{57F7A421-8FD3-4470-813D-526D207C0AED}" scale="110" showGridLines="0">
      <selection activeCell="D16" sqref="D16"/>
      <pageMargins left="0.7" right="0.7" top="0.75" bottom="0.75" header="0.3" footer="0.3"/>
      <pageSetup orientation="portrait" r:id="rId11"/>
    </customSheetView>
    <customSheetView guid="{E065FC95-9F37-4AD0-A6AF-202A080459EB}" scale="110" showGridLines="0">
      <selection activeCell="D16" sqref="D16"/>
      <pageMargins left="0.7" right="0.7" top="0.75" bottom="0.75" header="0.3" footer="0.3"/>
      <pageSetup orientation="portrait" r:id="rId12"/>
    </customSheetView>
    <customSheetView guid="{A979108F-FF23-4967-8663-1A0C9618D854}" scale="110" showGridLines="0">
      <selection activeCell="D16" sqref="D16"/>
      <pageMargins left="0.7" right="0.7" top="0.75" bottom="0.75" header="0.3" footer="0.3"/>
      <pageSetup orientation="portrait" r:id="rId13"/>
    </customSheetView>
    <customSheetView guid="{AD9596A8-734D-48AD-8922-A58933E39AB8}" scale="110" showGridLines="0">
      <selection activeCell="D16" sqref="D16"/>
      <pageMargins left="0.7" right="0.7" top="0.75" bottom="0.75" header="0.3" footer="0.3"/>
      <pageSetup orientation="portrait" r:id="rId14"/>
    </customSheetView>
    <customSheetView guid="{DFB07116-697D-42FF-ACBD-E8FE92938B16}" scale="110" showGridLines="0">
      <selection activeCell="D16" sqref="D16"/>
      <pageMargins left="0.7" right="0.7" top="0.75" bottom="0.75" header="0.3" footer="0.3"/>
      <pageSetup orientation="portrait" r:id="rId15"/>
    </customSheetView>
    <customSheetView guid="{2032DE14-E33D-44B5-9022-A2B48F059704}" scale="110" showGridLines="0" state="hidden">
      <selection activeCell="D16" sqref="D16"/>
      <pageMargins left="0.7" right="0.7" top="0.75" bottom="0.75" header="0.3" footer="0.3"/>
      <pageSetup orientation="portrait" r:id="rId16"/>
    </customSheetView>
    <customSheetView guid="{EE4A95A5-BF42-4BAA-B9EB-84A9230A28F9}" scale="110" showGridLines="0" state="hidden">
      <selection activeCell="D16" sqref="D16"/>
      <pageMargins left="0.7" right="0.7" top="0.75" bottom="0.75" header="0.3" footer="0.3"/>
      <pageSetup orientation="portrait" r:id="rId17"/>
    </customSheetView>
    <customSheetView guid="{8BEA0E04-8B9A-4A2D-9B80-4E7685E22D5E}" scale="110" showGridLines="0" state="hidden">
      <selection activeCell="D16" sqref="D16"/>
      <pageMargins left="0.7" right="0.7" top="0.75" bottom="0.75" header="0.3" footer="0.3"/>
      <pageSetup orientation="portrait" r:id="rId18"/>
    </customSheetView>
    <customSheetView guid="{0125BE01-BBC8-4E5A-9A9A-3D1257916B8C}" scale="110" showGridLines="0" state="hidden">
      <selection activeCell="D16" sqref="D16"/>
      <pageMargins left="0.7" right="0.7" top="0.75" bottom="0.75" header="0.3" footer="0.3"/>
      <pageSetup orientation="portrait" r:id="rId19"/>
    </customSheetView>
    <customSheetView guid="{7A9AB605-DB82-470C-B86B-95E2AB3523F6}" scale="110" showGridLines="0" state="hidden">
      <selection activeCell="D16" sqref="D16"/>
      <pageMargins left="0.7" right="0.7" top="0.75" bottom="0.75" header="0.3" footer="0.3"/>
      <pageSetup orientation="portrait" r:id="rId20"/>
    </customSheetView>
    <customSheetView guid="{FC8D231F-57F9-45EE-9DEF-D7ED111600EB}" scale="110" showGridLines="0" state="hidden">
      <selection activeCell="D16" sqref="D16"/>
      <pageMargins left="0.7" right="0.7" top="0.75" bottom="0.75" header="0.3" footer="0.3"/>
      <pageSetup orientation="portrait" r:id="rId21"/>
    </customSheetView>
    <customSheetView guid="{395DC3D6-3299-4A43-88E2-62703FCC0349}" scale="110" showGridLines="0" state="hidden">
      <selection activeCell="D16" sqref="D16"/>
      <pageMargins left="0.7" right="0.7" top="0.75" bottom="0.75" header="0.3" footer="0.3"/>
      <pageSetup orientation="portrait" r:id="rId22"/>
    </customSheetView>
    <customSheetView guid="{5C8F4C13-387F-42D2-8CB5-92C4886D7919}" scale="110" showGridLines="0" state="hidden">
      <selection activeCell="D16" sqref="D16"/>
      <pageMargins left="0.7" right="0.7" top="0.75" bottom="0.75" header="0.3" footer="0.3"/>
      <pageSetup orientation="portrait" r:id="rId23"/>
    </customSheetView>
    <customSheetView guid="{8A25BF65-C908-4B2F-9805-3CD39BD4330E}" scale="110" showGridLines="0" state="hidden">
      <selection activeCell="D16" sqref="D16"/>
      <pageMargins left="0.7" right="0.7" top="0.75" bottom="0.75" header="0.3" footer="0.3"/>
      <pageSetup orientation="portrait" r:id="rId24"/>
    </customSheetView>
    <customSheetView guid="{F9A03991-7A83-41AE-B603-3D22265CDA22}" scale="110" showGridLines="0" state="hidden">
      <selection activeCell="D16" sqref="D16"/>
      <pageMargins left="0.7" right="0.7" top="0.75" bottom="0.75" header="0.3" footer="0.3"/>
      <pageSetup orientation="portrait" r:id="rId25"/>
    </customSheetView>
    <customSheetView guid="{FEB5A49F-F7F7-412A-BE72-F90F7A4799C8}" scale="110" showGridLines="0" state="hidden">
      <selection activeCell="D16" sqref="D16"/>
      <pageMargins left="0.7" right="0.7" top="0.75" bottom="0.75" header="0.3" footer="0.3"/>
      <pageSetup orientation="portrait" r:id="rId26"/>
    </customSheetView>
    <customSheetView guid="{F518ECB9-5D92-41E0-BFD2-C5175A02444D}" scale="110" showGridLines="0" state="hidden">
      <selection activeCell="D16" sqref="D16"/>
      <pageMargins left="0.7" right="0.7" top="0.75" bottom="0.75" header="0.3" footer="0.3"/>
      <pageSetup orientation="portrait" r:id="rId27"/>
    </customSheetView>
    <customSheetView guid="{BCAB4838-A37A-4BCF-A9C9-CC50C95F58C7}" scale="110" showGridLines="0" state="hidden">
      <selection activeCell="D16" sqref="D16"/>
      <pageMargins left="0.7" right="0.7" top="0.75" bottom="0.75" header="0.3" footer="0.3"/>
      <pageSetup orientation="portrait" r:id="rId28"/>
    </customSheetView>
    <customSheetView guid="{C4FE72FA-CBE8-407E-8EC2-C280F8FC5007}" scale="110" showGridLines="0" state="hidden">
      <selection activeCell="D16" sqref="D16"/>
      <pageMargins left="0.7" right="0.7" top="0.75" bottom="0.75" header="0.3" footer="0.3"/>
      <pageSetup orientation="portrait" r:id="rId29"/>
    </customSheetView>
    <customSheetView guid="{38FB2C7A-5CFF-4CFC-8EEB-670D05614592}" scale="110" showGridLines="0" state="hidden">
      <selection activeCell="D16" sqref="D16"/>
      <pageMargins left="0.7" right="0.7" top="0.75" bottom="0.75" header="0.3" footer="0.3"/>
      <pageSetup orientation="portrait" r:id="rId30"/>
    </customSheetView>
    <customSheetView guid="{40292D04-273C-4BA2-8BEC-F145CB80DE09}" scale="110" showGridLines="0" state="hidden">
      <selection activeCell="D16" sqref="D16"/>
      <pageMargins left="0.7" right="0.7" top="0.75" bottom="0.75" header="0.3" footer="0.3"/>
      <pageSetup orientation="portrait" r:id="rId31"/>
    </customSheetView>
    <customSheetView guid="{3803F984-A279-41F1-A517-160B18D90A7B}" scale="110" showGridLines="0" state="hidden">
      <selection activeCell="D16" sqref="D16"/>
      <pageMargins left="0.7" right="0.7" top="0.75" bottom="0.75" header="0.3" footer="0.3"/>
      <pageSetup orientation="portrait" r:id="rId32"/>
    </customSheetView>
    <customSheetView guid="{66733AAA-1B52-4C53-8317-97DE8A748E25}" scale="110" showGridLines="0" state="hidden">
      <selection activeCell="D16" sqref="D16"/>
      <pageMargins left="0.7" right="0.7" top="0.75" bottom="0.75" header="0.3" footer="0.3"/>
      <pageSetup orientation="portrait" r:id="rId33"/>
    </customSheetView>
    <customSheetView guid="{7FCE83C1-0279-4E15-8ADF-7AE60DC9131C}" scale="110" showGridLines="0" state="hidden">
      <selection activeCell="D16" sqref="D16"/>
      <pageMargins left="0.7" right="0.7" top="0.75" bottom="0.75" header="0.3" footer="0.3"/>
      <pageSetup orientation="portrait" r:id="rId34"/>
    </customSheetView>
    <customSheetView guid="{F92D650A-7143-46D6-8CDA-595FA977193F}" scale="110" showGridLines="0" state="hidden">
      <selection activeCell="D16" sqref="D16"/>
      <pageMargins left="0.7" right="0.7" top="0.75" bottom="0.75" header="0.3" footer="0.3"/>
      <pageSetup orientation="portrait" r:id="rId35"/>
    </customSheetView>
    <customSheetView guid="{C2D3B09E-3326-4084-AD7A-C8013F4130D6}" scale="110" showGridLines="0" state="hidden">
      <selection activeCell="D16" sqref="D16"/>
      <pageMargins left="0.7" right="0.7" top="0.75" bottom="0.75" header="0.3" footer="0.3"/>
      <pageSetup orientation="portrait" r:id="rId36"/>
    </customSheetView>
    <customSheetView guid="{E1A67331-473F-4161-806C-BE35870C93B5}" scale="110" showGridLines="0" state="hidden">
      <selection activeCell="D16" sqref="D16"/>
      <pageMargins left="0.7" right="0.7" top="0.75" bottom="0.75" header="0.3" footer="0.3"/>
      <pageSetup orientation="portrait" r:id="rId37"/>
    </customSheetView>
    <customSheetView guid="{CC562453-1E6B-4010-9E1B-775397A26EFA}" scale="110" showGridLines="0" state="hidden">
      <selection activeCell="D16" sqref="D16"/>
      <pageMargins left="0.7" right="0.7" top="0.75" bottom="0.75" header="0.3" footer="0.3"/>
      <pageSetup orientation="portrait" r:id="rId38"/>
    </customSheetView>
    <customSheetView guid="{644A6A80-0D34-48F6-A071-17016DCD2D6E}" scale="110" showGridLines="0" state="hidden">
      <selection activeCell="D16" sqref="D16"/>
      <pageMargins left="0.7" right="0.7" top="0.75" bottom="0.75" header="0.3" footer="0.3"/>
      <pageSetup orientation="portrait" r:id="rId39"/>
    </customSheetView>
    <customSheetView guid="{C65059E8-30E8-488B-A0E9-1B7961920C81}" scale="110" showGridLines="0" state="hidden">
      <selection activeCell="D16" sqref="D16"/>
      <pageMargins left="0.7" right="0.7" top="0.75" bottom="0.75" header="0.3" footer="0.3"/>
      <pageSetup orientation="portrait" r:id="rId40"/>
    </customSheetView>
    <customSheetView guid="{95D39BA8-2B16-4954-ABAC-09AD33A86339}" scale="110" showGridLines="0" state="hidden">
      <selection activeCell="D16" sqref="D16"/>
      <pageMargins left="0.7" right="0.7" top="0.75" bottom="0.75" header="0.3" footer="0.3"/>
      <pageSetup orientation="portrait" r:id="rId41"/>
    </customSheetView>
    <customSheetView guid="{25A4A7C0-9593-456C-861C-76D101D3FE93}" scale="110" showGridLines="0" state="hidden">
      <selection activeCell="D16" sqref="D16"/>
      <pageMargins left="0.7" right="0.7" top="0.75" bottom="0.75" header="0.3" footer="0.3"/>
      <pageSetup orientation="portrait" r:id="rId42"/>
    </customSheetView>
    <customSheetView guid="{51BA8A3D-4711-49ED-89E2-EBC09DF2AEDC}" scale="110" showGridLines="0" state="hidden">
      <selection activeCell="D16" sqref="D16"/>
      <pageMargins left="0.7" right="0.7" top="0.75" bottom="0.75" header="0.3" footer="0.3"/>
      <pageSetup orientation="portrait" r:id="rId43"/>
    </customSheetView>
    <customSheetView guid="{629A478C-29B1-4F25-A016-63CE32A1627F}" scale="110" showGridLines="0" state="hidden">
      <selection activeCell="D16" sqref="D16"/>
      <pageMargins left="0.7" right="0.7" top="0.75" bottom="0.75" header="0.3" footer="0.3"/>
      <pageSetup orientation="portrait" r:id="rId44"/>
    </customSheetView>
    <customSheetView guid="{F789A6E6-3D06-4D93-BF02-46FA1A2548B2}" scale="110" showGridLines="0" state="hidden">
      <selection activeCell="D16" sqref="D16"/>
      <pageMargins left="0.7" right="0.7" top="0.75" bottom="0.75" header="0.3" footer="0.3"/>
      <pageSetup orientation="portrait" r:id="rId45"/>
    </customSheetView>
    <customSheetView guid="{15D7A002-B247-4A6B-A16B-61BDD9B0066A}" scale="110" showGridLines="0" state="hidden">
      <selection activeCell="D16" sqref="D16"/>
      <pageMargins left="0.7" right="0.7" top="0.75" bottom="0.75" header="0.3" footer="0.3"/>
      <pageSetup orientation="portrait" r:id="rId46"/>
    </customSheetView>
    <customSheetView guid="{9AFCAA87-4888-4976-A7C9-C06A34CB6C97}" scale="110" showGridLines="0" state="hidden">
      <selection activeCell="D16" sqref="D16"/>
      <pageMargins left="0.7" right="0.7" top="0.75" bottom="0.75" header="0.3" footer="0.3"/>
      <pageSetup orientation="portrait" r:id="rId47"/>
    </customSheetView>
    <customSheetView guid="{E4FF7DB9-14DF-49DB-9F59-1898DDED4DCE}" scale="110" showGridLines="0" state="hidden">
      <selection activeCell="D16" sqref="D16"/>
      <pageMargins left="0.7" right="0.7" top="0.75" bottom="0.75" header="0.3" footer="0.3"/>
      <pageSetup orientation="portrait" r:id="rId48"/>
    </customSheetView>
    <customSheetView guid="{EC7537C6-1678-41C1-B788-EF4AFFECF769}" scale="110" showGridLines="0" state="hidden">
      <selection activeCell="D16" sqref="D16"/>
      <pageMargins left="0.7" right="0.7" top="0.75" bottom="0.75" header="0.3" footer="0.3"/>
      <pageSetup orientation="portrait" r:id="rId49"/>
    </customSheetView>
    <customSheetView guid="{1920E7A3-1C9F-4320-81BB-D11544051025}" scale="110" showGridLines="0" state="hidden">
      <selection activeCell="D16" sqref="D16"/>
      <pageMargins left="0.7" right="0.7" top="0.75" bottom="0.75" header="0.3" footer="0.3"/>
      <pageSetup orientation="portrait" r:id="rId50"/>
    </customSheetView>
    <customSheetView guid="{02D27969-4CD1-473E-A0E8-856AB0664DE8}" scale="110" showGridLines="0" state="hidden">
      <selection activeCell="D16" sqref="D16"/>
      <pageMargins left="0.7" right="0.7" top="0.75" bottom="0.75" header="0.3" footer="0.3"/>
      <pageSetup orientation="portrait" r:id="rId51"/>
    </customSheetView>
    <customSheetView guid="{422703F6-63C4-435C-AFE7-1030286678F6}" scale="110" showGridLines="0" state="hidden">
      <selection activeCell="D16" sqref="D16"/>
      <pageMargins left="0.7" right="0.7" top="0.75" bottom="0.75" header="0.3" footer="0.3"/>
      <pageSetup orientation="portrait" r:id="rId52"/>
    </customSheetView>
    <customSheetView guid="{F3CB97AD-592C-4B6E-8AE3-1CD47479060C}" scale="110" showGridLines="0" state="hidden">
      <selection activeCell="D16" sqref="D16"/>
      <pageMargins left="0.7" right="0.7" top="0.75" bottom="0.75" header="0.3" footer="0.3"/>
      <pageSetup orientation="portrait" r:id="rId53"/>
    </customSheetView>
    <customSheetView guid="{19DA6E7F-8950-4769-9BBE-2798EFA465A3}" scale="110" showGridLines="0" state="hidden">
      <selection activeCell="D16" sqref="D16"/>
      <pageMargins left="0.7" right="0.7" top="0.75" bottom="0.75" header="0.3" footer="0.3"/>
      <pageSetup orientation="portrait" r:id="rId54"/>
    </customSheetView>
    <customSheetView guid="{47C01131-7443-4080-A2BB-6B6AA35C6913}" scale="110" showGridLines="0" state="hidden">
      <selection activeCell="D16" sqref="D16"/>
      <pageMargins left="0.7" right="0.7" top="0.75" bottom="0.75" header="0.3" footer="0.3"/>
      <pageSetup orientation="portrait" r:id="rId55"/>
    </customSheetView>
    <customSheetView guid="{C7330417-67A9-44CF-917F-5F5E2F191AD4}" scale="110" showGridLines="0" state="hidden">
      <selection activeCell="D16" sqref="D16"/>
      <pageMargins left="0.7" right="0.7" top="0.75" bottom="0.75" header="0.3" footer="0.3"/>
      <pageSetup orientation="portrait" r:id="rId56"/>
    </customSheetView>
    <customSheetView guid="{EBA5E9C4-A2DB-4DF0-BF75-1243E968318E}" scale="110" showGridLines="0" state="hidden">
      <selection activeCell="D16" sqref="D16"/>
      <pageMargins left="0.7" right="0.7" top="0.75" bottom="0.75" header="0.3" footer="0.3"/>
      <pageSetup orientation="portrait" r:id="rId57"/>
    </customSheetView>
    <customSheetView guid="{7A7FC9A5-F2B5-4894-82BC-4528575F10D4}" scale="110" showGridLines="0" state="hidden">
      <selection activeCell="D16" sqref="D16"/>
      <pageMargins left="0.7" right="0.7" top="0.75" bottom="0.75" header="0.3" footer="0.3"/>
      <pageSetup orientation="portrait" r:id="rId58"/>
    </customSheetView>
    <customSheetView guid="{6194C141-D0A1-4D58-BA55-90A184525AC3}" scale="110" showGridLines="0" state="hidden">
      <selection activeCell="D16" sqref="D16"/>
      <pageMargins left="0.7" right="0.7" top="0.75" bottom="0.75" header="0.3" footer="0.3"/>
      <pageSetup orientation="portrait" r:id="rId59"/>
    </customSheetView>
    <customSheetView guid="{A5292A6B-6F92-4AB3-B051-EF87F39FC489}" scale="110" showGridLines="0" state="hidden">
      <selection activeCell="D16" sqref="D16"/>
      <pageMargins left="0.7" right="0.7" top="0.75" bottom="0.75" header="0.3" footer="0.3"/>
      <pageSetup orientation="portrait" r:id="rId60"/>
    </customSheetView>
    <customSheetView guid="{C090DFAD-A23A-4678-87F2-095D84EBDDE8}" scale="110" showGridLines="0" state="hidden">
      <selection activeCell="D16" sqref="D16"/>
      <pageMargins left="0.7" right="0.7" top="0.75" bottom="0.75" header="0.3" footer="0.3"/>
      <pageSetup orientation="portrait" r:id="rId61"/>
    </customSheetView>
    <customSheetView guid="{4F11E31F-E14C-416D-BB97-C8CE74658FBE}" scale="110" showGridLines="0" state="hidden">
      <selection activeCell="D16" sqref="D16"/>
      <pageMargins left="0.7" right="0.7" top="0.75" bottom="0.75" header="0.3" footer="0.3"/>
      <pageSetup orientation="portrait" r:id="rId62"/>
    </customSheetView>
    <customSheetView guid="{F2A17A28-A3DF-492D-BAE9-AAEF2A13397B}" scale="110" showGridLines="0" state="hidden">
      <selection activeCell="D16" sqref="D16"/>
      <pageMargins left="0.7" right="0.7" top="0.75" bottom="0.75" header="0.3" footer="0.3"/>
      <pageSetup orientation="portrait" r:id="rId63"/>
    </customSheetView>
    <customSheetView guid="{8F332A92-7271-4FEC-B085-C15AA232FE21}" scale="110" showGridLines="0" state="hidden">
      <selection activeCell="D16" sqref="D16"/>
      <pageMargins left="0.7" right="0.7" top="0.75" bottom="0.75" header="0.3" footer="0.3"/>
      <pageSetup orientation="portrait" r:id="rId64"/>
    </customSheetView>
    <customSheetView guid="{6B1EB7F4-EF59-450E-A531-475C3A6E6150}" scale="110" showGridLines="0" state="hidden">
      <selection activeCell="D16" sqref="D16"/>
      <pageMargins left="0.7" right="0.7" top="0.75" bottom="0.75" header="0.3" footer="0.3"/>
      <pageSetup orientation="portrait" r:id="rId65"/>
    </customSheetView>
    <customSheetView guid="{8EBF087E-11C5-42EE-B564-FAEE72C86C17}" scale="110" showGridLines="0" state="hidden">
      <selection activeCell="D16" sqref="D16"/>
      <pageMargins left="0.7" right="0.7" top="0.75" bottom="0.75" header="0.3" footer="0.3"/>
      <pageSetup orientation="portrait" r:id="rId66"/>
    </customSheetView>
    <customSheetView guid="{F716839F-5448-40FC-95BC-286199FD6764}" scale="110" showGridLines="0" state="hidden">
      <selection activeCell="D16" sqref="D16"/>
      <pageMargins left="0.7" right="0.7" top="0.75" bottom="0.75" header="0.3" footer="0.3"/>
      <pageSetup orientation="portrait" r:id="rId67"/>
    </customSheetView>
    <customSheetView guid="{E712F22D-DF79-4936-B86B-186E637372BF}" scale="110" showGridLines="0" state="hidden">
      <selection activeCell="D16" sqref="D16"/>
      <pageMargins left="0.7" right="0.7" top="0.75" bottom="0.75" header="0.3" footer="0.3"/>
      <pageSetup orientation="portrait" r:id="rId68"/>
    </customSheetView>
    <customSheetView guid="{672B3D91-11D6-418C-A856-9FF74CE5E6FB}" scale="110" showGridLines="0" state="hidden">
      <selection activeCell="D16" sqref="D16"/>
      <pageMargins left="0.7" right="0.7" top="0.75" bottom="0.75" header="0.3" footer="0.3"/>
      <pageSetup orientation="portrait" r:id="rId69"/>
    </customSheetView>
    <customSheetView guid="{5B4753E1-B7DC-40C2-A28F-B07A6CB075FE}" scale="110" showGridLines="0" state="hidden">
      <selection activeCell="D16" sqref="D16"/>
      <pageMargins left="0.7" right="0.7" top="0.75" bottom="0.75" header="0.3" footer="0.3"/>
      <pageSetup orientation="portrait" r:id="rId70"/>
    </customSheetView>
    <customSheetView guid="{EF2006E2-DE9B-4938-AD6F-8255BE7D529F}" scale="110" showGridLines="0" state="hidden">
      <selection activeCell="D16" sqref="D16"/>
      <pageMargins left="0.7" right="0.7" top="0.75" bottom="0.75" header="0.3" footer="0.3"/>
      <pageSetup orientation="portrait" r:id="rId71"/>
    </customSheetView>
    <customSheetView guid="{0BFB30CE-F6D9-44B3-99BA-62858BF46600}" scale="110" showGridLines="0" state="hidden">
      <selection activeCell="D16" sqref="D16"/>
      <pageMargins left="0.7" right="0.7" top="0.75" bottom="0.75" header="0.3" footer="0.3"/>
      <pageSetup orientation="portrait" r:id="rId72"/>
    </customSheetView>
    <customSheetView guid="{E3977DAC-58A9-43A5-A2CD-037AE84A3934}" scale="110" showGridLines="0" state="hidden">
      <selection activeCell="D16" sqref="D16"/>
      <pageMargins left="0.7" right="0.7" top="0.75" bottom="0.75" header="0.3" footer="0.3"/>
      <pageSetup orientation="portrait" r:id="rId73"/>
    </customSheetView>
    <customSheetView guid="{E18774DE-EF27-4708-91D7-FE2A7EE4C992}" scale="110" showGridLines="0" state="hidden">
      <selection activeCell="D16" sqref="D16"/>
      <pageMargins left="0.7" right="0.7" top="0.75" bottom="0.75" header="0.3" footer="0.3"/>
      <pageSetup orientation="portrait" r:id="rId74"/>
    </customSheetView>
    <customSheetView guid="{F102CDDA-1DB7-4BD5-8A8F-CD5640485596}" scale="110" showGridLines="0" state="hidden">
      <selection activeCell="D16" sqref="D16"/>
      <pageMargins left="0.7" right="0.7" top="0.75" bottom="0.75" header="0.3" footer="0.3"/>
      <pageSetup orientation="portrait" r:id="rId75"/>
    </customSheetView>
    <customSheetView guid="{A3C7F73E-8288-4122-801A-9A426BB0DFB8}" scale="110" showGridLines="0" state="hidden">
      <selection activeCell="D16" sqref="D16"/>
      <pageMargins left="0.7" right="0.7" top="0.75" bottom="0.75" header="0.3" footer="0.3"/>
      <pageSetup orientation="portrait" r:id="rId76"/>
    </customSheetView>
    <customSheetView guid="{C1FEC2CE-0AE0-4F12-8438-BD3D230D3830}" scale="110" showGridLines="0" state="hidden">
      <selection activeCell="D16" sqref="D16"/>
      <pageMargins left="0.7" right="0.7" top="0.75" bottom="0.75" header="0.3" footer="0.3"/>
      <pageSetup orientation="portrait" r:id="rId77"/>
    </customSheetView>
    <customSheetView guid="{576A445C-3D9A-438D-AC68-B679E3D65634}" scale="110" showGridLines="0" state="hidden">
      <selection activeCell="D16" sqref="D16"/>
      <pageMargins left="0.7" right="0.7" top="0.75" bottom="0.75" header="0.3" footer="0.3"/>
      <pageSetup orientation="portrait" r:id="rId78"/>
    </customSheetView>
  </customSheetViews>
  <mergeCells count="6">
    <mergeCell ref="B5:D5"/>
    <mergeCell ref="F5:H5"/>
    <mergeCell ref="J5:L5"/>
    <mergeCell ref="B16:C16"/>
    <mergeCell ref="F16:G16"/>
    <mergeCell ref="J16:K16"/>
  </mergeCells>
  <conditionalFormatting sqref="D16">
    <cfRule type="expression" dxfId="14" priority="3">
      <formula>D$16=D$17</formula>
    </cfRule>
  </conditionalFormatting>
  <conditionalFormatting sqref="H16">
    <cfRule type="expression" dxfId="13" priority="2">
      <formula>H$16=H$17</formula>
    </cfRule>
  </conditionalFormatting>
  <conditionalFormatting sqref="L16">
    <cfRule type="expression" dxfId="12" priority="1">
      <formula>L$16=L$17</formula>
    </cfRule>
  </conditionalFormatting>
  <pageMargins left="0.7" right="0.7" top="0.75" bottom="0.75" header="0.3" footer="0.3"/>
  <pageSetup orientation="portrait" r:id="rId7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5:L17"/>
  <sheetViews>
    <sheetView showGridLines="0" zoomScale="110" zoomScaleNormal="90" workbookViewId="0">
      <selection activeCell="D16" sqref="D16"/>
    </sheetView>
  </sheetViews>
  <sheetFormatPr defaultRowHeight="18.75" x14ac:dyDescent="0.3"/>
  <cols>
    <col min="1" max="1" width="13.42578125" style="5" customWidth="1"/>
    <col min="2" max="2" width="17.140625" style="5" bestFit="1" customWidth="1"/>
    <col min="3" max="3" width="8.28515625" style="5" bestFit="1" customWidth="1"/>
    <col min="4" max="4" width="13.85546875" style="5" bestFit="1" customWidth="1"/>
    <col min="5" max="5" width="11.42578125" style="5" customWidth="1"/>
    <col min="6" max="6" width="17.140625" style="5" bestFit="1" customWidth="1"/>
    <col min="7" max="7" width="9.85546875" style="5" bestFit="1" customWidth="1"/>
    <col min="8" max="8" width="13.85546875" style="5" bestFit="1" customWidth="1"/>
    <col min="9" max="9" width="9.140625" style="5"/>
    <col min="10" max="10" width="17.140625" style="5" bestFit="1" customWidth="1"/>
    <col min="11" max="11" width="8.28515625" style="5" bestFit="1" customWidth="1"/>
    <col min="12" max="12" width="13.85546875" style="5" bestFit="1" customWidth="1"/>
    <col min="13" max="16384" width="9.140625" style="5"/>
  </cols>
  <sheetData>
    <row r="5" spans="2:12" x14ac:dyDescent="0.3">
      <c r="B5" s="20" t="s">
        <v>19</v>
      </c>
      <c r="C5" s="20"/>
      <c r="D5" s="20"/>
      <c r="F5" s="20" t="s">
        <v>20</v>
      </c>
      <c r="G5" s="20"/>
      <c r="H5" s="20"/>
      <c r="J5" s="20" t="s">
        <v>21</v>
      </c>
      <c r="K5" s="20"/>
      <c r="L5" s="20"/>
    </row>
    <row r="6" spans="2:12" x14ac:dyDescent="0.3">
      <c r="B6" s="10" t="s">
        <v>17</v>
      </c>
      <c r="C6" s="10" t="s">
        <v>16</v>
      </c>
      <c r="D6" s="10" t="s">
        <v>15</v>
      </c>
      <c r="E6" s="9"/>
      <c r="F6" s="10" t="s">
        <v>17</v>
      </c>
      <c r="G6" s="10" t="s">
        <v>16</v>
      </c>
      <c r="H6" s="10" t="s">
        <v>15</v>
      </c>
      <c r="I6" s="9"/>
      <c r="J6" s="10" t="s">
        <v>17</v>
      </c>
      <c r="K6" s="10" t="s">
        <v>16</v>
      </c>
      <c r="L6" s="10" t="s">
        <v>15</v>
      </c>
    </row>
    <row r="7" spans="2:12" x14ac:dyDescent="0.3">
      <c r="B7" s="6" t="s">
        <v>13</v>
      </c>
      <c r="C7" s="6">
        <v>7.85</v>
      </c>
      <c r="D7" s="6" t="s">
        <v>12</v>
      </c>
      <c r="E7" s="7" t="str">
        <f t="shared" ref="E7:E12" si="0">_xlfn.IFS(B7&gt;=6,"Yes, it is over 6")</f>
        <v>Yes, it is over 6</v>
      </c>
      <c r="F7" s="6" t="s">
        <v>13</v>
      </c>
      <c r="G7" s="6">
        <v>10.25</v>
      </c>
      <c r="H7" s="6" t="s">
        <v>12</v>
      </c>
      <c r="J7" s="6" t="s">
        <v>7</v>
      </c>
      <c r="K7" s="6">
        <v>9.65</v>
      </c>
      <c r="L7" s="6" t="s">
        <v>6</v>
      </c>
    </row>
    <row r="8" spans="2:12" x14ac:dyDescent="0.3">
      <c r="B8" s="6" t="s">
        <v>11</v>
      </c>
      <c r="C8" s="6">
        <v>3.25</v>
      </c>
      <c r="D8" s="6" t="s">
        <v>10</v>
      </c>
      <c r="E8" s="7" t="str">
        <f t="shared" si="0"/>
        <v>Yes, it is over 6</v>
      </c>
      <c r="F8" s="6" t="s">
        <v>13</v>
      </c>
      <c r="G8" s="6">
        <v>9.75</v>
      </c>
      <c r="H8" s="6" t="s">
        <v>12</v>
      </c>
      <c r="J8" s="6" t="s">
        <v>7</v>
      </c>
      <c r="K8" s="8">
        <v>5.5</v>
      </c>
      <c r="L8" s="6" t="s">
        <v>6</v>
      </c>
    </row>
    <row r="9" spans="2:12" ht="21" customHeight="1" x14ac:dyDescent="0.3">
      <c r="B9" s="6" t="s">
        <v>9</v>
      </c>
      <c r="C9" s="6">
        <v>12.5</v>
      </c>
      <c r="D9" s="6" t="s">
        <v>8</v>
      </c>
      <c r="E9" s="7" t="str">
        <f t="shared" si="0"/>
        <v>Yes, it is over 6</v>
      </c>
      <c r="F9" s="6" t="s">
        <v>2</v>
      </c>
      <c r="G9" s="6">
        <v>5.25</v>
      </c>
      <c r="H9" s="6" t="s">
        <v>1</v>
      </c>
      <c r="J9" s="6" t="s">
        <v>11</v>
      </c>
      <c r="K9" s="8">
        <v>4.5</v>
      </c>
      <c r="L9" s="6" t="s">
        <v>10</v>
      </c>
    </row>
    <row r="10" spans="2:12" x14ac:dyDescent="0.3">
      <c r="B10" s="6" t="s">
        <v>7</v>
      </c>
      <c r="C10" s="6">
        <v>6.35</v>
      </c>
      <c r="D10" s="6" t="s">
        <v>6</v>
      </c>
      <c r="E10" s="7" t="str">
        <f t="shared" si="0"/>
        <v>Yes, it is over 6</v>
      </c>
      <c r="F10" s="6" t="s">
        <v>4</v>
      </c>
      <c r="G10" s="6">
        <v>3.75</v>
      </c>
      <c r="H10" s="6" t="s">
        <v>3</v>
      </c>
      <c r="J10" s="6" t="s">
        <v>9</v>
      </c>
      <c r="K10" s="8">
        <v>10.25</v>
      </c>
      <c r="L10" s="6" t="s">
        <v>8</v>
      </c>
    </row>
    <row r="11" spans="2:12" x14ac:dyDescent="0.3">
      <c r="B11" s="6" t="s">
        <v>4</v>
      </c>
      <c r="C11" s="6">
        <v>2.5</v>
      </c>
      <c r="D11" s="6" t="s">
        <v>3</v>
      </c>
      <c r="E11" s="7" t="str">
        <f t="shared" si="0"/>
        <v>Yes, it is over 6</v>
      </c>
      <c r="F11" s="6" t="s">
        <v>9</v>
      </c>
      <c r="G11" s="8">
        <v>11.99</v>
      </c>
      <c r="H11" s="6" t="s">
        <v>8</v>
      </c>
      <c r="J11" s="6" t="s">
        <v>4</v>
      </c>
      <c r="K11" s="8">
        <v>6.5</v>
      </c>
      <c r="L11" s="6" t="s">
        <v>3</v>
      </c>
    </row>
    <row r="12" spans="2:12" x14ac:dyDescent="0.3">
      <c r="B12" s="6" t="s">
        <v>2</v>
      </c>
      <c r="C12" s="6">
        <v>6.5</v>
      </c>
      <c r="D12" s="6" t="s">
        <v>1</v>
      </c>
      <c r="E12" s="7" t="str">
        <f t="shared" si="0"/>
        <v>Yes, it is over 6</v>
      </c>
      <c r="F12" s="6" t="s">
        <v>11</v>
      </c>
      <c r="G12" s="8">
        <v>5.5</v>
      </c>
      <c r="H12" s="6" t="s">
        <v>10</v>
      </c>
      <c r="J12" s="6" t="s">
        <v>2</v>
      </c>
      <c r="K12" s="6">
        <v>9.25</v>
      </c>
      <c r="L12" s="6" t="s">
        <v>1</v>
      </c>
    </row>
    <row r="13" spans="2:12" x14ac:dyDescent="0.3">
      <c r="B13" s="6" t="s">
        <v>13</v>
      </c>
      <c r="C13" s="6">
        <v>8.75</v>
      </c>
      <c r="D13" s="6" t="s">
        <v>12</v>
      </c>
      <c r="F13" s="6" t="s">
        <v>7</v>
      </c>
      <c r="G13" s="8">
        <v>7</v>
      </c>
      <c r="H13" s="6" t="s">
        <v>6</v>
      </c>
      <c r="J13" s="6" t="s">
        <v>13</v>
      </c>
      <c r="K13" s="8">
        <v>7.4</v>
      </c>
      <c r="L13" s="6" t="s">
        <v>12</v>
      </c>
    </row>
    <row r="14" spans="2:12" x14ac:dyDescent="0.3">
      <c r="B14" s="6" t="s">
        <v>7</v>
      </c>
      <c r="C14" s="6">
        <v>4.6500000000000004</v>
      </c>
      <c r="D14" s="6" t="s">
        <v>6</v>
      </c>
      <c r="F14" s="6" t="s">
        <v>7</v>
      </c>
      <c r="G14" s="8">
        <v>4.5</v>
      </c>
      <c r="H14" s="6" t="s">
        <v>6</v>
      </c>
      <c r="J14" s="6" t="s">
        <v>13</v>
      </c>
      <c r="K14" s="6">
        <v>8.75</v>
      </c>
      <c r="L14" s="6" t="s">
        <v>12</v>
      </c>
    </row>
    <row r="16" spans="2:12" ht="45.75" customHeight="1" x14ac:dyDescent="0.3">
      <c r="B16" s="21" t="s">
        <v>37</v>
      </c>
      <c r="C16" s="21"/>
      <c r="D16" s="11"/>
      <c r="F16" s="21" t="s">
        <v>29</v>
      </c>
      <c r="G16" s="21"/>
      <c r="H16" s="11"/>
      <c r="J16" s="21" t="s">
        <v>30</v>
      </c>
      <c r="K16" s="21"/>
      <c r="L16" s="11"/>
    </row>
    <row r="17" spans="4:12" x14ac:dyDescent="0.3">
      <c r="D17" s="7">
        <f>COUNTA(B7:B14,F7:F14,J7:J14)</f>
        <v>24</v>
      </c>
      <c r="H17" s="7">
        <f>COUNTA(F13,B10,B14,F14,J8,J7)</f>
        <v>6</v>
      </c>
      <c r="L17" s="7">
        <f>COUNTA(D7,H8,L13,D13,H7,L14)</f>
        <v>6</v>
      </c>
    </row>
  </sheetData>
  <customSheetViews>
    <customSheetView guid="{4725FB26-BADE-478E-8CB6-C0172942A9EE}" scale="110" showGridLines="0" topLeftCell="A3">
      <selection activeCell="D16" sqref="D16"/>
      <pageMargins left="0.7" right="0.7" top="0.75" bottom="0.75" header="0.3" footer="0.3"/>
      <pageSetup orientation="portrait" r:id="rId1"/>
    </customSheetView>
    <customSheetView guid="{5B82F60B-B869-45D3-9A7D-2B843E789197}" scale="110" showGridLines="0" topLeftCell="A3">
      <selection activeCell="D16" sqref="D16"/>
      <pageMargins left="0.7" right="0.7" top="0.75" bottom="0.75" header="0.3" footer="0.3"/>
      <pageSetup orientation="portrait" r:id="rId2"/>
    </customSheetView>
    <customSheetView guid="{73745901-4C3A-49DD-83C4-0AEBB167DB63}" scale="110" showGridLines="0" topLeftCell="A3">
      <selection activeCell="D16" sqref="D16"/>
      <pageMargins left="0.7" right="0.7" top="0.75" bottom="0.75" header="0.3" footer="0.3"/>
      <pageSetup orientation="portrait" r:id="rId3"/>
    </customSheetView>
    <customSheetView guid="{AE37E6D9-7485-4A75-9115-FDBD1A6E08D0}" scale="110" showGridLines="0">
      <selection activeCell="D16" sqref="D16"/>
      <pageMargins left="0.7" right="0.7" top="0.75" bottom="0.75" header="0.3" footer="0.3"/>
      <pageSetup orientation="portrait" r:id="rId4"/>
    </customSheetView>
    <customSheetView guid="{28C5C254-2672-4A7F-9398-2FA6F99EE3FF}" scale="110" showGridLines="0">
      <selection activeCell="D16" sqref="D16"/>
      <pageMargins left="0.7" right="0.7" top="0.75" bottom="0.75" header="0.3" footer="0.3"/>
      <pageSetup orientation="portrait" r:id="rId5"/>
    </customSheetView>
    <customSheetView guid="{9967D63C-4135-4BF7-A83B-0EC0A28A8504}" scale="110" showGridLines="0">
      <selection activeCell="D16" sqref="D16"/>
      <pageMargins left="0.7" right="0.7" top="0.75" bottom="0.75" header="0.3" footer="0.3"/>
      <pageSetup orientation="portrait" r:id="rId6"/>
    </customSheetView>
    <customSheetView guid="{8DC39A41-9961-4A5C-8659-B8A82A01A470}" scale="110" showGridLines="0">
      <selection activeCell="D16" sqref="D16"/>
      <pageMargins left="0.7" right="0.7" top="0.75" bottom="0.75" header="0.3" footer="0.3"/>
      <pageSetup orientation="portrait" r:id="rId7"/>
    </customSheetView>
    <customSheetView guid="{06F040C9-291C-44DD-A11A-B2BAF2078CA1}" scale="110" showGridLines="0">
      <selection activeCell="D16" sqref="D16"/>
      <pageMargins left="0.7" right="0.7" top="0.75" bottom="0.75" header="0.3" footer="0.3"/>
      <pageSetup orientation="portrait" r:id="rId8"/>
    </customSheetView>
    <customSheetView guid="{AC1AC0BB-7D81-4427-80BF-DB36D3CC12C1}" scale="110" showGridLines="0">
      <selection activeCell="D16" sqref="D16"/>
      <pageMargins left="0.7" right="0.7" top="0.75" bottom="0.75" header="0.3" footer="0.3"/>
      <pageSetup orientation="portrait" r:id="rId9"/>
    </customSheetView>
    <customSheetView guid="{31F90F3E-FB31-437F-ADCE-44D58804C41D}" scale="110" showGridLines="0">
      <selection activeCell="D16" sqref="D16"/>
      <pageMargins left="0.7" right="0.7" top="0.75" bottom="0.75" header="0.3" footer="0.3"/>
      <pageSetup orientation="portrait" r:id="rId10"/>
    </customSheetView>
    <customSheetView guid="{57F7A421-8FD3-4470-813D-526D207C0AED}" scale="110" showGridLines="0">
      <selection activeCell="D16" sqref="D16"/>
      <pageMargins left="0.7" right="0.7" top="0.75" bottom="0.75" header="0.3" footer="0.3"/>
      <pageSetup orientation="portrait" r:id="rId11"/>
    </customSheetView>
    <customSheetView guid="{E065FC95-9F37-4AD0-A6AF-202A080459EB}" scale="110" showGridLines="0">
      <selection activeCell="D16" sqref="D16"/>
      <pageMargins left="0.7" right="0.7" top="0.75" bottom="0.75" header="0.3" footer="0.3"/>
      <pageSetup orientation="portrait" r:id="rId12"/>
    </customSheetView>
    <customSheetView guid="{A979108F-FF23-4967-8663-1A0C9618D854}" scale="110" showGridLines="0">
      <selection activeCell="D16" sqref="D16"/>
      <pageMargins left="0.7" right="0.7" top="0.75" bottom="0.75" header="0.3" footer="0.3"/>
      <pageSetup orientation="portrait" r:id="rId13"/>
    </customSheetView>
    <customSheetView guid="{AD9596A8-734D-48AD-8922-A58933E39AB8}" scale="110" showGridLines="0">
      <selection activeCell="D16" sqref="D16"/>
      <pageMargins left="0.7" right="0.7" top="0.75" bottom="0.75" header="0.3" footer="0.3"/>
      <pageSetup orientation="portrait" r:id="rId14"/>
    </customSheetView>
    <customSheetView guid="{DFB07116-697D-42FF-ACBD-E8FE92938B16}" scale="110" showGridLines="0">
      <selection activeCell="D16" sqref="D16"/>
      <pageMargins left="0.7" right="0.7" top="0.75" bottom="0.75" header="0.3" footer="0.3"/>
      <pageSetup orientation="portrait" r:id="rId15"/>
    </customSheetView>
    <customSheetView guid="{2032DE14-E33D-44B5-9022-A2B48F059704}" scale="110" showGridLines="0" state="hidden">
      <selection activeCell="D16" sqref="D16"/>
      <pageMargins left="0.7" right="0.7" top="0.75" bottom="0.75" header="0.3" footer="0.3"/>
      <pageSetup orientation="portrait" r:id="rId16"/>
    </customSheetView>
    <customSheetView guid="{EE4A95A5-BF42-4BAA-B9EB-84A9230A28F9}" scale="110" showGridLines="0" state="hidden">
      <selection activeCell="D16" sqref="D16"/>
      <pageMargins left="0.7" right="0.7" top="0.75" bottom="0.75" header="0.3" footer="0.3"/>
      <pageSetup orientation="portrait" r:id="rId17"/>
    </customSheetView>
    <customSheetView guid="{8BEA0E04-8B9A-4A2D-9B80-4E7685E22D5E}" scale="110" showGridLines="0" state="hidden">
      <selection activeCell="D16" sqref="D16"/>
      <pageMargins left="0.7" right="0.7" top="0.75" bottom="0.75" header="0.3" footer="0.3"/>
      <pageSetup orientation="portrait" r:id="rId18"/>
    </customSheetView>
    <customSheetView guid="{0125BE01-BBC8-4E5A-9A9A-3D1257916B8C}" scale="110" showGridLines="0" state="hidden">
      <selection activeCell="D16" sqref="D16"/>
      <pageMargins left="0.7" right="0.7" top="0.75" bottom="0.75" header="0.3" footer="0.3"/>
      <pageSetup orientation="portrait" r:id="rId19"/>
    </customSheetView>
    <customSheetView guid="{7A9AB605-DB82-470C-B86B-95E2AB3523F6}" scale="110" showGridLines="0" state="hidden">
      <selection activeCell="D16" sqref="D16"/>
      <pageMargins left="0.7" right="0.7" top="0.75" bottom="0.75" header="0.3" footer="0.3"/>
      <pageSetup orientation="portrait" r:id="rId20"/>
    </customSheetView>
    <customSheetView guid="{FC8D231F-57F9-45EE-9DEF-D7ED111600EB}" scale="110" showGridLines="0" state="hidden">
      <selection activeCell="D16" sqref="D16"/>
      <pageMargins left="0.7" right="0.7" top="0.75" bottom="0.75" header="0.3" footer="0.3"/>
      <pageSetup orientation="portrait" r:id="rId21"/>
    </customSheetView>
    <customSheetView guid="{395DC3D6-3299-4A43-88E2-62703FCC0349}" scale="110" showGridLines="0" state="hidden">
      <selection activeCell="D16" sqref="D16"/>
      <pageMargins left="0.7" right="0.7" top="0.75" bottom="0.75" header="0.3" footer="0.3"/>
      <pageSetup orientation="portrait" r:id="rId22"/>
    </customSheetView>
    <customSheetView guid="{5C8F4C13-387F-42D2-8CB5-92C4886D7919}" scale="110" showGridLines="0" state="hidden">
      <selection activeCell="D16" sqref="D16"/>
      <pageMargins left="0.7" right="0.7" top="0.75" bottom="0.75" header="0.3" footer="0.3"/>
      <pageSetup orientation="portrait" r:id="rId23"/>
    </customSheetView>
    <customSheetView guid="{8A25BF65-C908-4B2F-9805-3CD39BD4330E}" scale="110" showGridLines="0" state="hidden">
      <selection activeCell="D16" sqref="D16"/>
      <pageMargins left="0.7" right="0.7" top="0.75" bottom="0.75" header="0.3" footer="0.3"/>
      <pageSetup orientation="portrait" r:id="rId24"/>
    </customSheetView>
    <customSheetView guid="{F9A03991-7A83-41AE-B603-3D22265CDA22}" scale="110" showGridLines="0" state="hidden">
      <selection activeCell="D16" sqref="D16"/>
      <pageMargins left="0.7" right="0.7" top="0.75" bottom="0.75" header="0.3" footer="0.3"/>
      <pageSetup orientation="portrait" r:id="rId25"/>
    </customSheetView>
    <customSheetView guid="{FEB5A49F-F7F7-412A-BE72-F90F7A4799C8}" scale="110" showGridLines="0" state="hidden">
      <selection activeCell="D16" sqref="D16"/>
      <pageMargins left="0.7" right="0.7" top="0.75" bottom="0.75" header="0.3" footer="0.3"/>
      <pageSetup orientation="portrait" r:id="rId26"/>
    </customSheetView>
    <customSheetView guid="{F518ECB9-5D92-41E0-BFD2-C5175A02444D}" scale="110" showGridLines="0" state="hidden">
      <selection activeCell="D16" sqref="D16"/>
      <pageMargins left="0.7" right="0.7" top="0.75" bottom="0.75" header="0.3" footer="0.3"/>
      <pageSetup orientation="portrait" r:id="rId27"/>
    </customSheetView>
    <customSheetView guid="{BCAB4838-A37A-4BCF-A9C9-CC50C95F58C7}" scale="110" showGridLines="0" state="hidden">
      <selection activeCell="D16" sqref="D16"/>
      <pageMargins left="0.7" right="0.7" top="0.75" bottom="0.75" header="0.3" footer="0.3"/>
      <pageSetup orientation="portrait" r:id="rId28"/>
    </customSheetView>
    <customSheetView guid="{C4FE72FA-CBE8-407E-8EC2-C280F8FC5007}" scale="110" showGridLines="0" state="hidden">
      <selection activeCell="D16" sqref="D16"/>
      <pageMargins left="0.7" right="0.7" top="0.75" bottom="0.75" header="0.3" footer="0.3"/>
      <pageSetup orientation="portrait" r:id="rId29"/>
    </customSheetView>
    <customSheetView guid="{38FB2C7A-5CFF-4CFC-8EEB-670D05614592}" scale="110" showGridLines="0" state="hidden">
      <selection activeCell="D16" sqref="D16"/>
      <pageMargins left="0.7" right="0.7" top="0.75" bottom="0.75" header="0.3" footer="0.3"/>
      <pageSetup orientation="portrait" r:id="rId30"/>
    </customSheetView>
    <customSheetView guid="{40292D04-273C-4BA2-8BEC-F145CB80DE09}" scale="110" showGridLines="0" state="hidden">
      <selection activeCell="D16" sqref="D16"/>
      <pageMargins left="0.7" right="0.7" top="0.75" bottom="0.75" header="0.3" footer="0.3"/>
      <pageSetup orientation="portrait" r:id="rId31"/>
    </customSheetView>
    <customSheetView guid="{3803F984-A279-41F1-A517-160B18D90A7B}" scale="110" showGridLines="0" state="hidden">
      <selection activeCell="D16" sqref="D16"/>
      <pageMargins left="0.7" right="0.7" top="0.75" bottom="0.75" header="0.3" footer="0.3"/>
      <pageSetup orientation="portrait" r:id="rId32"/>
    </customSheetView>
    <customSheetView guid="{66733AAA-1B52-4C53-8317-97DE8A748E25}" scale="110" showGridLines="0" state="hidden">
      <selection activeCell="D16" sqref="D16"/>
      <pageMargins left="0.7" right="0.7" top="0.75" bottom="0.75" header="0.3" footer="0.3"/>
      <pageSetup orientation="portrait" r:id="rId33"/>
    </customSheetView>
    <customSheetView guid="{7FCE83C1-0279-4E15-8ADF-7AE60DC9131C}" scale="110" showGridLines="0" state="hidden">
      <selection activeCell="D16" sqref="D16"/>
      <pageMargins left="0.7" right="0.7" top="0.75" bottom="0.75" header="0.3" footer="0.3"/>
      <pageSetup orientation="portrait" r:id="rId34"/>
    </customSheetView>
    <customSheetView guid="{F92D650A-7143-46D6-8CDA-595FA977193F}" scale="110" showGridLines="0" state="hidden">
      <selection activeCell="D16" sqref="D16"/>
      <pageMargins left="0.7" right="0.7" top="0.75" bottom="0.75" header="0.3" footer="0.3"/>
      <pageSetup orientation="portrait" r:id="rId35"/>
    </customSheetView>
    <customSheetView guid="{C2D3B09E-3326-4084-AD7A-C8013F4130D6}" scale="110" showGridLines="0" state="hidden">
      <selection activeCell="D16" sqref="D16"/>
      <pageMargins left="0.7" right="0.7" top="0.75" bottom="0.75" header="0.3" footer="0.3"/>
      <pageSetup orientation="portrait" r:id="rId36"/>
    </customSheetView>
    <customSheetView guid="{E1A67331-473F-4161-806C-BE35870C93B5}" scale="110" showGridLines="0" state="hidden">
      <selection activeCell="D16" sqref="D16"/>
      <pageMargins left="0.7" right="0.7" top="0.75" bottom="0.75" header="0.3" footer="0.3"/>
      <pageSetup orientation="portrait" r:id="rId37"/>
    </customSheetView>
    <customSheetView guid="{CC562453-1E6B-4010-9E1B-775397A26EFA}" scale="110" showGridLines="0" state="hidden">
      <selection activeCell="D16" sqref="D16"/>
      <pageMargins left="0.7" right="0.7" top="0.75" bottom="0.75" header="0.3" footer="0.3"/>
      <pageSetup orientation="portrait" r:id="rId38"/>
    </customSheetView>
    <customSheetView guid="{644A6A80-0D34-48F6-A071-17016DCD2D6E}" scale="110" showGridLines="0" state="hidden">
      <selection activeCell="D16" sqref="D16"/>
      <pageMargins left="0.7" right="0.7" top="0.75" bottom="0.75" header="0.3" footer="0.3"/>
      <pageSetup orientation="portrait" r:id="rId39"/>
    </customSheetView>
    <customSheetView guid="{C65059E8-30E8-488B-A0E9-1B7961920C81}" scale="110" showGridLines="0" state="hidden">
      <selection activeCell="D16" sqref="D16"/>
      <pageMargins left="0.7" right="0.7" top="0.75" bottom="0.75" header="0.3" footer="0.3"/>
      <pageSetup orientation="portrait" r:id="rId40"/>
    </customSheetView>
    <customSheetView guid="{95D39BA8-2B16-4954-ABAC-09AD33A86339}" scale="110" showGridLines="0" state="hidden">
      <selection activeCell="D16" sqref="D16"/>
      <pageMargins left="0.7" right="0.7" top="0.75" bottom="0.75" header="0.3" footer="0.3"/>
      <pageSetup orientation="portrait" r:id="rId41"/>
    </customSheetView>
    <customSheetView guid="{25A4A7C0-9593-456C-861C-76D101D3FE93}" scale="110" showGridLines="0" state="hidden">
      <selection activeCell="D16" sqref="D16"/>
      <pageMargins left="0.7" right="0.7" top="0.75" bottom="0.75" header="0.3" footer="0.3"/>
      <pageSetup orientation="portrait" r:id="rId42"/>
    </customSheetView>
    <customSheetView guid="{51BA8A3D-4711-49ED-89E2-EBC09DF2AEDC}" scale="110" showGridLines="0" state="hidden">
      <selection activeCell="D16" sqref="D16"/>
      <pageMargins left="0.7" right="0.7" top="0.75" bottom="0.75" header="0.3" footer="0.3"/>
      <pageSetup orientation="portrait" r:id="rId43"/>
    </customSheetView>
    <customSheetView guid="{629A478C-29B1-4F25-A016-63CE32A1627F}" scale="110" showGridLines="0" state="hidden">
      <selection activeCell="D16" sqref="D16"/>
      <pageMargins left="0.7" right="0.7" top="0.75" bottom="0.75" header="0.3" footer="0.3"/>
      <pageSetup orientation="portrait" r:id="rId44"/>
    </customSheetView>
    <customSheetView guid="{F789A6E6-3D06-4D93-BF02-46FA1A2548B2}" scale="110" showGridLines="0" state="hidden">
      <selection activeCell="D16" sqref="D16"/>
      <pageMargins left="0.7" right="0.7" top="0.75" bottom="0.75" header="0.3" footer="0.3"/>
      <pageSetup orientation="portrait" r:id="rId45"/>
    </customSheetView>
    <customSheetView guid="{15D7A002-B247-4A6B-A16B-61BDD9B0066A}" scale="110" showGridLines="0" state="hidden">
      <selection activeCell="D16" sqref="D16"/>
      <pageMargins left="0.7" right="0.7" top="0.75" bottom="0.75" header="0.3" footer="0.3"/>
      <pageSetup orientation="portrait" r:id="rId46"/>
    </customSheetView>
    <customSheetView guid="{9AFCAA87-4888-4976-A7C9-C06A34CB6C97}" scale="110" showGridLines="0" state="hidden">
      <selection activeCell="D16" sqref="D16"/>
      <pageMargins left="0.7" right="0.7" top="0.75" bottom="0.75" header="0.3" footer="0.3"/>
      <pageSetup orientation="portrait" r:id="rId47"/>
    </customSheetView>
    <customSheetView guid="{E4FF7DB9-14DF-49DB-9F59-1898DDED4DCE}" scale="110" showGridLines="0" state="hidden">
      <selection activeCell="D16" sqref="D16"/>
      <pageMargins left="0.7" right="0.7" top="0.75" bottom="0.75" header="0.3" footer="0.3"/>
      <pageSetup orientation="portrait" r:id="rId48"/>
    </customSheetView>
    <customSheetView guid="{EC7537C6-1678-41C1-B788-EF4AFFECF769}" scale="110" showGridLines="0" state="hidden">
      <selection activeCell="D16" sqref="D16"/>
      <pageMargins left="0.7" right="0.7" top="0.75" bottom="0.75" header="0.3" footer="0.3"/>
      <pageSetup orientation="portrait" r:id="rId49"/>
    </customSheetView>
    <customSheetView guid="{1920E7A3-1C9F-4320-81BB-D11544051025}" scale="110" showGridLines="0" state="hidden">
      <selection activeCell="D16" sqref="D16"/>
      <pageMargins left="0.7" right="0.7" top="0.75" bottom="0.75" header="0.3" footer="0.3"/>
      <pageSetup orientation="portrait" r:id="rId50"/>
    </customSheetView>
    <customSheetView guid="{02D27969-4CD1-473E-A0E8-856AB0664DE8}" scale="110" showGridLines="0" state="hidden">
      <selection activeCell="D16" sqref="D16"/>
      <pageMargins left="0.7" right="0.7" top="0.75" bottom="0.75" header="0.3" footer="0.3"/>
      <pageSetup orientation="portrait" r:id="rId51"/>
    </customSheetView>
    <customSheetView guid="{422703F6-63C4-435C-AFE7-1030286678F6}" scale="110" showGridLines="0" state="hidden">
      <selection activeCell="D16" sqref="D16"/>
      <pageMargins left="0.7" right="0.7" top="0.75" bottom="0.75" header="0.3" footer="0.3"/>
      <pageSetup orientation="portrait" r:id="rId52"/>
    </customSheetView>
    <customSheetView guid="{F3CB97AD-592C-4B6E-8AE3-1CD47479060C}" scale="110" showGridLines="0" state="hidden">
      <selection activeCell="D16" sqref="D16"/>
      <pageMargins left="0.7" right="0.7" top="0.75" bottom="0.75" header="0.3" footer="0.3"/>
      <pageSetup orientation="portrait" r:id="rId53"/>
    </customSheetView>
    <customSheetView guid="{19DA6E7F-8950-4769-9BBE-2798EFA465A3}" scale="110" showGridLines="0" state="hidden">
      <selection activeCell="D16" sqref="D16"/>
      <pageMargins left="0.7" right="0.7" top="0.75" bottom="0.75" header="0.3" footer="0.3"/>
      <pageSetup orientation="portrait" r:id="rId54"/>
    </customSheetView>
    <customSheetView guid="{47C01131-7443-4080-A2BB-6B6AA35C6913}" scale="110" showGridLines="0" state="hidden">
      <selection activeCell="D16" sqref="D16"/>
      <pageMargins left="0.7" right="0.7" top="0.75" bottom="0.75" header="0.3" footer="0.3"/>
      <pageSetup orientation="portrait" r:id="rId55"/>
    </customSheetView>
    <customSheetView guid="{C7330417-67A9-44CF-917F-5F5E2F191AD4}" scale="110" showGridLines="0" state="hidden">
      <selection activeCell="D16" sqref="D16"/>
      <pageMargins left="0.7" right="0.7" top="0.75" bottom="0.75" header="0.3" footer="0.3"/>
      <pageSetup orientation="portrait" r:id="rId56"/>
    </customSheetView>
    <customSheetView guid="{EBA5E9C4-A2DB-4DF0-BF75-1243E968318E}" scale="110" showGridLines="0" state="hidden">
      <selection activeCell="D16" sqref="D16"/>
      <pageMargins left="0.7" right="0.7" top="0.75" bottom="0.75" header="0.3" footer="0.3"/>
      <pageSetup orientation="portrait" r:id="rId57"/>
    </customSheetView>
    <customSheetView guid="{7A7FC9A5-F2B5-4894-82BC-4528575F10D4}" scale="110" showGridLines="0" state="hidden">
      <selection activeCell="D16" sqref="D16"/>
      <pageMargins left="0.7" right="0.7" top="0.75" bottom="0.75" header="0.3" footer="0.3"/>
      <pageSetup orientation="portrait" r:id="rId58"/>
    </customSheetView>
    <customSheetView guid="{6194C141-D0A1-4D58-BA55-90A184525AC3}" scale="110" showGridLines="0" state="hidden">
      <selection activeCell="D16" sqref="D16"/>
      <pageMargins left="0.7" right="0.7" top="0.75" bottom="0.75" header="0.3" footer="0.3"/>
      <pageSetup orientation="portrait" r:id="rId59"/>
    </customSheetView>
    <customSheetView guid="{A5292A6B-6F92-4AB3-B051-EF87F39FC489}" scale="110" showGridLines="0" state="hidden">
      <selection activeCell="D16" sqref="D16"/>
      <pageMargins left="0.7" right="0.7" top="0.75" bottom="0.75" header="0.3" footer="0.3"/>
      <pageSetup orientation="portrait" r:id="rId60"/>
    </customSheetView>
    <customSheetView guid="{C090DFAD-A23A-4678-87F2-095D84EBDDE8}" scale="110" showGridLines="0" state="hidden">
      <selection activeCell="D16" sqref="D16"/>
      <pageMargins left="0.7" right="0.7" top="0.75" bottom="0.75" header="0.3" footer="0.3"/>
      <pageSetup orientation="portrait" r:id="rId61"/>
    </customSheetView>
    <customSheetView guid="{4F11E31F-E14C-416D-BB97-C8CE74658FBE}" scale="110" showGridLines="0" state="hidden">
      <selection activeCell="D16" sqref="D16"/>
      <pageMargins left="0.7" right="0.7" top="0.75" bottom="0.75" header="0.3" footer="0.3"/>
      <pageSetup orientation="portrait" r:id="rId62"/>
    </customSheetView>
    <customSheetView guid="{F2A17A28-A3DF-492D-BAE9-AAEF2A13397B}" scale="110" showGridLines="0" state="hidden">
      <selection activeCell="D16" sqref="D16"/>
      <pageMargins left="0.7" right="0.7" top="0.75" bottom="0.75" header="0.3" footer="0.3"/>
      <pageSetup orientation="portrait" r:id="rId63"/>
    </customSheetView>
    <customSheetView guid="{8F332A92-7271-4FEC-B085-C15AA232FE21}" scale="110" showGridLines="0" state="hidden">
      <selection activeCell="D16" sqref="D16"/>
      <pageMargins left="0.7" right="0.7" top="0.75" bottom="0.75" header="0.3" footer="0.3"/>
      <pageSetup orientation="portrait" r:id="rId64"/>
    </customSheetView>
    <customSheetView guid="{6B1EB7F4-EF59-450E-A531-475C3A6E6150}" scale="110" showGridLines="0" state="hidden">
      <selection activeCell="D16" sqref="D16"/>
      <pageMargins left="0.7" right="0.7" top="0.75" bottom="0.75" header="0.3" footer="0.3"/>
      <pageSetup orientation="portrait" r:id="rId65"/>
    </customSheetView>
    <customSheetView guid="{8EBF087E-11C5-42EE-B564-FAEE72C86C17}" scale="110" showGridLines="0" state="hidden">
      <selection activeCell="D16" sqref="D16"/>
      <pageMargins left="0.7" right="0.7" top="0.75" bottom="0.75" header="0.3" footer="0.3"/>
      <pageSetup orientation="portrait" r:id="rId66"/>
    </customSheetView>
    <customSheetView guid="{F716839F-5448-40FC-95BC-286199FD6764}" scale="110" showGridLines="0" state="hidden">
      <selection activeCell="D16" sqref="D16"/>
      <pageMargins left="0.7" right="0.7" top="0.75" bottom="0.75" header="0.3" footer="0.3"/>
      <pageSetup orientation="portrait" r:id="rId67"/>
    </customSheetView>
    <customSheetView guid="{E712F22D-DF79-4936-B86B-186E637372BF}" scale="110" showGridLines="0" state="hidden">
      <selection activeCell="D16" sqref="D16"/>
      <pageMargins left="0.7" right="0.7" top="0.75" bottom="0.75" header="0.3" footer="0.3"/>
      <pageSetup orientation="portrait" r:id="rId68"/>
    </customSheetView>
    <customSheetView guid="{672B3D91-11D6-418C-A856-9FF74CE5E6FB}" scale="110" showGridLines="0" state="hidden">
      <selection activeCell="D16" sqref="D16"/>
      <pageMargins left="0.7" right="0.7" top="0.75" bottom="0.75" header="0.3" footer="0.3"/>
      <pageSetup orientation="portrait" r:id="rId69"/>
    </customSheetView>
    <customSheetView guid="{5B4753E1-B7DC-40C2-A28F-B07A6CB075FE}" scale="110" showGridLines="0" state="hidden">
      <selection activeCell="D16" sqref="D16"/>
      <pageMargins left="0.7" right="0.7" top="0.75" bottom="0.75" header="0.3" footer="0.3"/>
      <pageSetup orientation="portrait" r:id="rId70"/>
    </customSheetView>
    <customSheetView guid="{EF2006E2-DE9B-4938-AD6F-8255BE7D529F}" scale="110" showGridLines="0" state="hidden">
      <selection activeCell="D16" sqref="D16"/>
      <pageMargins left="0.7" right="0.7" top="0.75" bottom="0.75" header="0.3" footer="0.3"/>
      <pageSetup orientation="portrait" r:id="rId71"/>
    </customSheetView>
    <customSheetView guid="{0BFB30CE-F6D9-44B3-99BA-62858BF46600}" scale="110" showGridLines="0" state="hidden">
      <selection activeCell="D16" sqref="D16"/>
      <pageMargins left="0.7" right="0.7" top="0.75" bottom="0.75" header="0.3" footer="0.3"/>
      <pageSetup orientation="portrait" r:id="rId72"/>
    </customSheetView>
    <customSheetView guid="{E3977DAC-58A9-43A5-A2CD-037AE84A3934}" scale="110" showGridLines="0" state="hidden">
      <selection activeCell="D16" sqref="D16"/>
      <pageMargins left="0.7" right="0.7" top="0.75" bottom="0.75" header="0.3" footer="0.3"/>
      <pageSetup orientation="portrait" r:id="rId73"/>
    </customSheetView>
    <customSheetView guid="{E18774DE-EF27-4708-91D7-FE2A7EE4C992}" scale="110" showGridLines="0" state="hidden">
      <selection activeCell="D16" sqref="D16"/>
      <pageMargins left="0.7" right="0.7" top="0.75" bottom="0.75" header="0.3" footer="0.3"/>
      <pageSetup orientation="portrait" r:id="rId74"/>
    </customSheetView>
    <customSheetView guid="{F102CDDA-1DB7-4BD5-8A8F-CD5640485596}" scale="110" showGridLines="0" state="hidden">
      <selection activeCell="D16" sqref="D16"/>
      <pageMargins left="0.7" right="0.7" top="0.75" bottom="0.75" header="0.3" footer="0.3"/>
      <pageSetup orientation="portrait" r:id="rId75"/>
    </customSheetView>
    <customSheetView guid="{A3C7F73E-8288-4122-801A-9A426BB0DFB8}" scale="110" showGridLines="0" state="hidden">
      <selection activeCell="D16" sqref="D16"/>
      <pageMargins left="0.7" right="0.7" top="0.75" bottom="0.75" header="0.3" footer="0.3"/>
      <pageSetup orientation="portrait" r:id="rId76"/>
    </customSheetView>
    <customSheetView guid="{C1FEC2CE-0AE0-4F12-8438-BD3D230D3830}" scale="110" showGridLines="0" state="hidden">
      <selection activeCell="D16" sqref="D16"/>
      <pageMargins left="0.7" right="0.7" top="0.75" bottom="0.75" header="0.3" footer="0.3"/>
      <pageSetup orientation="portrait" r:id="rId77"/>
    </customSheetView>
    <customSheetView guid="{576A445C-3D9A-438D-AC68-B679E3D65634}" scale="110" showGridLines="0" state="hidden">
      <selection activeCell="D16" sqref="D16"/>
      <pageMargins left="0.7" right="0.7" top="0.75" bottom="0.75" header="0.3" footer="0.3"/>
      <pageSetup orientation="portrait" r:id="rId78"/>
    </customSheetView>
  </customSheetViews>
  <mergeCells count="6">
    <mergeCell ref="B5:D5"/>
    <mergeCell ref="F5:H5"/>
    <mergeCell ref="J5:L5"/>
    <mergeCell ref="B16:C16"/>
    <mergeCell ref="F16:G16"/>
    <mergeCell ref="J16:K16"/>
  </mergeCells>
  <conditionalFormatting sqref="D16">
    <cfRule type="expression" dxfId="11" priority="3">
      <formula>D$16=D$17</formula>
    </cfRule>
  </conditionalFormatting>
  <conditionalFormatting sqref="H16">
    <cfRule type="expression" dxfId="10" priority="2">
      <formula>H$16=H$17</formula>
    </cfRule>
  </conditionalFormatting>
  <conditionalFormatting sqref="L16">
    <cfRule type="expression" dxfId="9" priority="1">
      <formula>L$16=L$17</formula>
    </cfRule>
  </conditionalFormatting>
  <pageMargins left="0.7" right="0.7" top="0.75" bottom="0.75" header="0.3" footer="0.3"/>
  <pageSetup orientation="portrait" r:id="rId79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L18"/>
  <sheetViews>
    <sheetView showGridLines="0" zoomScale="110" zoomScaleNormal="110" workbookViewId="0">
      <selection activeCell="D12" sqref="D12"/>
    </sheetView>
  </sheetViews>
  <sheetFormatPr defaultRowHeight="18.75" x14ac:dyDescent="0.3"/>
  <cols>
    <col min="1" max="1" width="13.42578125" style="5" customWidth="1"/>
    <col min="2" max="2" width="17.140625" style="5" bestFit="1" customWidth="1"/>
    <col min="3" max="3" width="8.28515625" style="5" bestFit="1" customWidth="1"/>
    <col min="4" max="4" width="13.85546875" style="5" bestFit="1" customWidth="1"/>
    <col min="5" max="5" width="11.42578125" style="5" customWidth="1"/>
    <col min="6" max="6" width="17.140625" style="5" bestFit="1" customWidth="1"/>
    <col min="7" max="7" width="9.85546875" style="5" bestFit="1" customWidth="1"/>
    <col min="8" max="8" width="13.85546875" style="5" bestFit="1" customWidth="1"/>
    <col min="9" max="9" width="9.140625" style="5"/>
    <col min="10" max="10" width="17.140625" style="5" bestFit="1" customWidth="1"/>
    <col min="11" max="11" width="8.28515625" style="5" bestFit="1" customWidth="1"/>
    <col min="12" max="12" width="13.85546875" style="5" bestFit="1" customWidth="1"/>
    <col min="13" max="16384" width="9.140625" style="5"/>
  </cols>
  <sheetData>
    <row r="1" spans="2:12" ht="12.75" customHeight="1" x14ac:dyDescent="0.3"/>
    <row r="2" spans="2:12" ht="12.75" customHeight="1" x14ac:dyDescent="0.3"/>
    <row r="3" spans="2:12" ht="12.75" customHeight="1" x14ac:dyDescent="0.3"/>
    <row r="4" spans="2:12" ht="12.75" customHeight="1" x14ac:dyDescent="0.3"/>
    <row r="5" spans="2:12" ht="13.5" customHeight="1" x14ac:dyDescent="0.3"/>
    <row r="6" spans="2:12" x14ac:dyDescent="0.3">
      <c r="B6" s="20" t="s">
        <v>19</v>
      </c>
      <c r="C6" s="20"/>
      <c r="D6" s="20"/>
      <c r="F6" s="20" t="s">
        <v>20</v>
      </c>
      <c r="G6" s="20"/>
      <c r="H6" s="20"/>
      <c r="J6" s="20" t="s">
        <v>21</v>
      </c>
      <c r="K6" s="20"/>
      <c r="L6" s="20"/>
    </row>
    <row r="7" spans="2:12" x14ac:dyDescent="0.3">
      <c r="B7" s="10" t="s">
        <v>17</v>
      </c>
      <c r="C7" s="10" t="s">
        <v>16</v>
      </c>
      <c r="D7" s="10" t="s">
        <v>15</v>
      </c>
      <c r="E7" s="9"/>
      <c r="F7" s="10" t="s">
        <v>17</v>
      </c>
      <c r="G7" s="10" t="s">
        <v>16</v>
      </c>
      <c r="H7" s="10" t="s">
        <v>15</v>
      </c>
      <c r="I7" s="9"/>
      <c r="J7" s="10" t="s">
        <v>17</v>
      </c>
      <c r="K7" s="10" t="s">
        <v>16</v>
      </c>
      <c r="L7" s="10" t="s">
        <v>15</v>
      </c>
    </row>
    <row r="8" spans="2:12" x14ac:dyDescent="0.3">
      <c r="B8" s="6" t="s">
        <v>13</v>
      </c>
      <c r="C8" s="6">
        <v>12.85</v>
      </c>
      <c r="D8" s="6" t="s">
        <v>12</v>
      </c>
      <c r="E8" s="7" t="str">
        <f t="shared" ref="E8:E13" si="0">_xlfn.IFS(B8&gt;=6,"Yes, it is over 6")</f>
        <v>Yes, it is over 6</v>
      </c>
      <c r="F8" s="6" t="s">
        <v>13</v>
      </c>
      <c r="G8" s="6">
        <v>10.25</v>
      </c>
      <c r="H8" s="6" t="s">
        <v>12</v>
      </c>
      <c r="J8" s="6" t="s">
        <v>7</v>
      </c>
      <c r="K8" s="6">
        <v>9.65</v>
      </c>
      <c r="L8" s="6" t="s">
        <v>6</v>
      </c>
    </row>
    <row r="9" spans="2:12" x14ac:dyDescent="0.3">
      <c r="B9" s="6" t="s">
        <v>11</v>
      </c>
      <c r="C9" s="6">
        <v>3.25</v>
      </c>
      <c r="D9" s="6" t="s">
        <v>10</v>
      </c>
      <c r="E9" s="7" t="str">
        <f t="shared" si="0"/>
        <v>Yes, it is over 6</v>
      </c>
      <c r="F9" s="6" t="s">
        <v>13</v>
      </c>
      <c r="G9" s="6">
        <v>9.75</v>
      </c>
      <c r="H9" s="6" t="s">
        <v>12</v>
      </c>
      <c r="J9" s="6" t="s">
        <v>7</v>
      </c>
      <c r="K9" s="8">
        <v>5.5</v>
      </c>
      <c r="L9" s="6" t="s">
        <v>6</v>
      </c>
    </row>
    <row r="10" spans="2:12" ht="21" customHeight="1" x14ac:dyDescent="0.3">
      <c r="B10" s="6" t="s">
        <v>9</v>
      </c>
      <c r="C10" s="6">
        <v>7.75</v>
      </c>
      <c r="D10" s="6" t="s">
        <v>8</v>
      </c>
      <c r="E10" s="7" t="str">
        <f t="shared" si="0"/>
        <v>Yes, it is over 6</v>
      </c>
      <c r="F10" s="6" t="s">
        <v>2</v>
      </c>
      <c r="G10" s="6">
        <v>5.25</v>
      </c>
      <c r="H10" s="6" t="s">
        <v>1</v>
      </c>
      <c r="J10" s="6" t="s">
        <v>11</v>
      </c>
      <c r="K10" s="8">
        <v>4.5</v>
      </c>
      <c r="L10" s="6" t="s">
        <v>10</v>
      </c>
    </row>
    <row r="11" spans="2:12" x14ac:dyDescent="0.3">
      <c r="B11" s="6" t="s">
        <v>7</v>
      </c>
      <c r="C11" s="6">
        <v>6.35</v>
      </c>
      <c r="D11" s="6" t="s">
        <v>6</v>
      </c>
      <c r="E11" s="7" t="str">
        <f t="shared" si="0"/>
        <v>Yes, it is over 6</v>
      </c>
      <c r="F11" s="6" t="s">
        <v>4</v>
      </c>
      <c r="G11" s="6">
        <v>3.75</v>
      </c>
      <c r="H11" s="6" t="s">
        <v>3</v>
      </c>
      <c r="J11" s="6" t="s">
        <v>9</v>
      </c>
      <c r="K11" s="8">
        <v>10.25</v>
      </c>
      <c r="L11" s="6" t="s">
        <v>8</v>
      </c>
    </row>
    <row r="12" spans="2:12" x14ac:dyDescent="0.3">
      <c r="B12" s="6" t="s">
        <v>4</v>
      </c>
      <c r="C12" s="6">
        <v>3.25</v>
      </c>
      <c r="D12" s="6" t="s">
        <v>3</v>
      </c>
      <c r="E12" s="7" t="str">
        <f t="shared" si="0"/>
        <v>Yes, it is over 6</v>
      </c>
      <c r="F12" s="6" t="s">
        <v>9</v>
      </c>
      <c r="G12" s="8">
        <v>11.99</v>
      </c>
      <c r="H12" s="6" t="s">
        <v>8</v>
      </c>
      <c r="J12" s="6" t="s">
        <v>4</v>
      </c>
      <c r="K12" s="8">
        <v>6.5</v>
      </c>
      <c r="L12" s="6" t="s">
        <v>3</v>
      </c>
    </row>
    <row r="13" spans="2:12" x14ac:dyDescent="0.3">
      <c r="B13" s="6" t="s">
        <v>2</v>
      </c>
      <c r="C13" s="6">
        <v>6.5</v>
      </c>
      <c r="D13" s="6" t="s">
        <v>1</v>
      </c>
      <c r="E13" s="7" t="str">
        <f t="shared" si="0"/>
        <v>Yes, it is over 6</v>
      </c>
      <c r="F13" s="6" t="s">
        <v>11</v>
      </c>
      <c r="G13" s="8">
        <v>5.5</v>
      </c>
      <c r="H13" s="6" t="s">
        <v>10</v>
      </c>
      <c r="J13" s="6" t="s">
        <v>2</v>
      </c>
      <c r="K13" s="6">
        <v>9.25</v>
      </c>
      <c r="L13" s="6" t="s">
        <v>1</v>
      </c>
    </row>
    <row r="14" spans="2:12" x14ac:dyDescent="0.3">
      <c r="B14" s="6" t="s">
        <v>13</v>
      </c>
      <c r="C14" s="6">
        <v>8.75</v>
      </c>
      <c r="D14" s="6" t="s">
        <v>12</v>
      </c>
      <c r="F14" s="6" t="s">
        <v>7</v>
      </c>
      <c r="G14" s="8">
        <v>7</v>
      </c>
      <c r="H14" s="6" t="s">
        <v>6</v>
      </c>
      <c r="J14" s="6" t="s">
        <v>13</v>
      </c>
      <c r="K14" s="8">
        <v>7.4</v>
      </c>
      <c r="L14" s="6" t="s">
        <v>12</v>
      </c>
    </row>
    <row r="15" spans="2:12" x14ac:dyDescent="0.3">
      <c r="B15" s="6" t="s">
        <v>7</v>
      </c>
      <c r="C15" s="6">
        <v>4.6500000000000004</v>
      </c>
      <c r="D15" s="6" t="s">
        <v>6</v>
      </c>
      <c r="F15" s="6" t="s">
        <v>7</v>
      </c>
      <c r="G15" s="8">
        <v>4.5</v>
      </c>
      <c r="H15" s="6" t="s">
        <v>6</v>
      </c>
      <c r="J15" s="6" t="s">
        <v>13</v>
      </c>
      <c r="K15" s="6">
        <v>8.75</v>
      </c>
      <c r="L15" s="6" t="s">
        <v>12</v>
      </c>
    </row>
    <row r="17" spans="2:12" ht="48" customHeight="1" x14ac:dyDescent="0.3">
      <c r="B17" s="21" t="s">
        <v>33</v>
      </c>
      <c r="C17" s="21"/>
      <c r="D17" s="11">
        <f xml:space="preserve"> MAX(C8:C15,G8:G15,K8:K15)</f>
        <v>12.85</v>
      </c>
      <c r="F17" s="21" t="s">
        <v>35</v>
      </c>
      <c r="G17" s="21"/>
      <c r="H17" s="11">
        <f>MAX(G8:G15,K8:K15)</f>
        <v>11.99</v>
      </c>
      <c r="J17" s="21" t="s">
        <v>36</v>
      </c>
      <c r="K17" s="21"/>
      <c r="L17" s="13">
        <f>MAX(C8,C14,G8:G9,K14:K15)</f>
        <v>12.85</v>
      </c>
    </row>
    <row r="18" spans="2:12" x14ac:dyDescent="0.3">
      <c r="D18" s="7">
        <f>MAX(C8:C15,G8:G15,K8:K15)</f>
        <v>12.85</v>
      </c>
      <c r="H18" s="7">
        <f>MAX(G8:G15,K8:K15)</f>
        <v>11.99</v>
      </c>
      <c r="L18" s="12">
        <f>MAX(G8:G9,K14:K15,C8,C14)</f>
        <v>12.85</v>
      </c>
    </row>
  </sheetData>
  <customSheetViews>
    <customSheetView guid="{4725FB26-BADE-478E-8CB6-C0172942A9EE}" scale="110" showGridLines="0" topLeftCell="A3">
      <selection activeCell="D17" sqref="D17"/>
      <pageMargins left="0.7" right="0.7" top="0.75" bottom="0.75" header="0.3" footer="0.3"/>
      <pageSetup orientation="portrait" r:id="rId1"/>
    </customSheetView>
    <customSheetView guid="{5B82F60B-B869-45D3-9A7D-2B843E789197}" scale="110" showGridLines="0" topLeftCell="A3">
      <selection activeCell="D17" sqref="D17"/>
      <pageMargins left="0.7" right="0.7" top="0.75" bottom="0.75" header="0.3" footer="0.3"/>
      <pageSetup orientation="portrait" r:id="rId2"/>
    </customSheetView>
    <customSheetView guid="{73745901-4C3A-49DD-83C4-0AEBB167DB63}" scale="110" showGridLines="0">
      <selection activeCell="D12" sqref="D12"/>
      <pageMargins left="0.7" right="0.7" top="0.75" bottom="0.75" header="0.3" footer="0.3"/>
      <pageSetup orientation="portrait" r:id="rId3"/>
    </customSheetView>
    <customSheetView guid="{AE37E6D9-7485-4A75-9115-FDBD1A6E08D0}" scale="110" showGridLines="0">
      <selection activeCell="D12" sqref="D12"/>
      <pageMargins left="0.7" right="0.7" top="0.75" bottom="0.75" header="0.3" footer="0.3"/>
      <pageSetup orientation="portrait" r:id="rId4"/>
    </customSheetView>
    <customSheetView guid="{28C5C254-2672-4A7F-9398-2FA6F99EE3FF}" scale="110" showGridLines="0">
      <selection activeCell="D12" sqref="D12"/>
      <pageMargins left="0.7" right="0.7" top="0.75" bottom="0.75" header="0.3" footer="0.3"/>
      <pageSetup orientation="portrait" r:id="rId5"/>
    </customSheetView>
    <customSheetView guid="{9967D63C-4135-4BF7-A83B-0EC0A28A8504}" scale="110" showGridLines="0">
      <selection activeCell="D12" sqref="D12"/>
      <pageMargins left="0.7" right="0.7" top="0.75" bottom="0.75" header="0.3" footer="0.3"/>
      <pageSetup orientation="portrait" r:id="rId6"/>
    </customSheetView>
    <customSheetView guid="{8DC39A41-9961-4A5C-8659-B8A82A01A470}" scale="110" showGridLines="0">
      <selection activeCell="D12" sqref="D12"/>
      <pageMargins left="0.7" right="0.7" top="0.75" bottom="0.75" header="0.3" footer="0.3"/>
      <pageSetup orientation="portrait" r:id="rId7"/>
    </customSheetView>
    <customSheetView guid="{06F040C9-291C-44DD-A11A-B2BAF2078CA1}" scale="110" showGridLines="0">
      <selection activeCell="D12" sqref="D12"/>
      <pageMargins left="0.7" right="0.7" top="0.75" bottom="0.75" header="0.3" footer="0.3"/>
      <pageSetup orientation="portrait" r:id="rId8"/>
    </customSheetView>
    <customSheetView guid="{AC1AC0BB-7D81-4427-80BF-DB36D3CC12C1}" scale="110" showGridLines="0">
      <selection activeCell="D12" sqref="D12"/>
      <pageMargins left="0.7" right="0.7" top="0.75" bottom="0.75" header="0.3" footer="0.3"/>
      <pageSetup orientation="portrait" r:id="rId9"/>
    </customSheetView>
    <customSheetView guid="{31F90F3E-FB31-437F-ADCE-44D58804C41D}" scale="110" showGridLines="0">
      <selection activeCell="D12" sqref="D12"/>
      <pageMargins left="0.7" right="0.7" top="0.75" bottom="0.75" header="0.3" footer="0.3"/>
      <pageSetup orientation="portrait" r:id="rId10"/>
    </customSheetView>
    <customSheetView guid="{57F7A421-8FD3-4470-813D-526D207C0AED}" scale="110" showGridLines="0">
      <selection activeCell="D12" sqref="D12"/>
      <pageMargins left="0.7" right="0.7" top="0.75" bottom="0.75" header="0.3" footer="0.3"/>
      <pageSetup orientation="portrait" r:id="rId11"/>
    </customSheetView>
    <customSheetView guid="{E065FC95-9F37-4AD0-A6AF-202A080459EB}" scale="110" showGridLines="0">
      <selection activeCell="D12" sqref="D12"/>
      <pageMargins left="0.7" right="0.7" top="0.75" bottom="0.75" header="0.3" footer="0.3"/>
      <pageSetup orientation="portrait" r:id="rId12"/>
    </customSheetView>
    <customSheetView guid="{A979108F-FF23-4967-8663-1A0C9618D854}" scale="110" showGridLines="0">
      <selection activeCell="D12" sqref="D12"/>
      <pageMargins left="0.7" right="0.7" top="0.75" bottom="0.75" header="0.3" footer="0.3"/>
      <pageSetup orientation="portrait" r:id="rId13"/>
    </customSheetView>
    <customSheetView guid="{AD9596A8-734D-48AD-8922-A58933E39AB8}" scale="110" showGridLines="0">
      <selection activeCell="D12" sqref="D12"/>
      <pageMargins left="0.7" right="0.7" top="0.75" bottom="0.75" header="0.3" footer="0.3"/>
      <pageSetup orientation="portrait" r:id="rId14"/>
    </customSheetView>
    <customSheetView guid="{DFB07116-697D-42FF-ACBD-E8FE92938B16}" scale="110" showGridLines="0">
      <selection activeCell="D12" sqref="D12"/>
      <pageMargins left="0.7" right="0.7" top="0.75" bottom="0.75" header="0.3" footer="0.3"/>
      <pageSetup orientation="portrait" r:id="rId15"/>
    </customSheetView>
    <customSheetView guid="{2032DE14-E33D-44B5-9022-A2B48F059704}" scale="110" showGridLines="0" state="hidden">
      <selection activeCell="D12" sqref="D12"/>
      <pageMargins left="0.7" right="0.7" top="0.75" bottom="0.75" header="0.3" footer="0.3"/>
      <pageSetup orientation="portrait" r:id="rId16"/>
    </customSheetView>
    <customSheetView guid="{EE4A95A5-BF42-4BAA-B9EB-84A9230A28F9}" scale="110" showGridLines="0" state="hidden">
      <selection activeCell="D12" sqref="D12"/>
      <pageMargins left="0.7" right="0.7" top="0.75" bottom="0.75" header="0.3" footer="0.3"/>
      <pageSetup orientation="portrait" r:id="rId17"/>
    </customSheetView>
    <customSheetView guid="{8BEA0E04-8B9A-4A2D-9B80-4E7685E22D5E}" scale="110" showGridLines="0" state="hidden">
      <selection activeCell="D12" sqref="D12"/>
      <pageMargins left="0.7" right="0.7" top="0.75" bottom="0.75" header="0.3" footer="0.3"/>
      <pageSetup orientation="portrait" r:id="rId18"/>
    </customSheetView>
    <customSheetView guid="{0125BE01-BBC8-4E5A-9A9A-3D1257916B8C}" scale="110" showGridLines="0" state="hidden">
      <selection activeCell="D12" sqref="D12"/>
      <pageMargins left="0.7" right="0.7" top="0.75" bottom="0.75" header="0.3" footer="0.3"/>
      <pageSetup orientation="portrait" r:id="rId19"/>
    </customSheetView>
    <customSheetView guid="{7A9AB605-DB82-470C-B86B-95E2AB3523F6}" scale="110" showGridLines="0" state="hidden">
      <selection activeCell="D12" sqref="D12"/>
      <pageMargins left="0.7" right="0.7" top="0.75" bottom="0.75" header="0.3" footer="0.3"/>
      <pageSetup orientation="portrait" r:id="rId20"/>
    </customSheetView>
    <customSheetView guid="{FC8D231F-57F9-45EE-9DEF-D7ED111600EB}" scale="110" showGridLines="0" state="hidden">
      <selection activeCell="D12" sqref="D12"/>
      <pageMargins left="0.7" right="0.7" top="0.75" bottom="0.75" header="0.3" footer="0.3"/>
      <pageSetup orientation="portrait" r:id="rId21"/>
    </customSheetView>
    <customSheetView guid="{395DC3D6-3299-4A43-88E2-62703FCC0349}" scale="110" showGridLines="0" state="hidden">
      <selection activeCell="D12" sqref="D12"/>
      <pageMargins left="0.7" right="0.7" top="0.75" bottom="0.75" header="0.3" footer="0.3"/>
      <pageSetup orientation="portrait" r:id="rId22"/>
    </customSheetView>
    <customSheetView guid="{5C8F4C13-387F-42D2-8CB5-92C4886D7919}" scale="110" showGridLines="0" state="hidden">
      <selection activeCell="D12" sqref="D12"/>
      <pageMargins left="0.7" right="0.7" top="0.75" bottom="0.75" header="0.3" footer="0.3"/>
      <pageSetup orientation="portrait" r:id="rId23"/>
    </customSheetView>
    <customSheetView guid="{8A25BF65-C908-4B2F-9805-3CD39BD4330E}" scale="110" showGridLines="0" state="hidden">
      <selection activeCell="D12" sqref="D12"/>
      <pageMargins left="0.7" right="0.7" top="0.75" bottom="0.75" header="0.3" footer="0.3"/>
      <pageSetup orientation="portrait" r:id="rId24"/>
    </customSheetView>
    <customSheetView guid="{F9A03991-7A83-41AE-B603-3D22265CDA22}" scale="110" showGridLines="0" state="hidden">
      <selection activeCell="D12" sqref="D12"/>
      <pageMargins left="0.7" right="0.7" top="0.75" bottom="0.75" header="0.3" footer="0.3"/>
      <pageSetup orientation="portrait" r:id="rId25"/>
    </customSheetView>
    <customSheetView guid="{FEB5A49F-F7F7-412A-BE72-F90F7A4799C8}" scale="110" showGridLines="0" state="hidden">
      <selection activeCell="D12" sqref="D12"/>
      <pageMargins left="0.7" right="0.7" top="0.75" bottom="0.75" header="0.3" footer="0.3"/>
      <pageSetup orientation="portrait" r:id="rId26"/>
    </customSheetView>
    <customSheetView guid="{F518ECB9-5D92-41E0-BFD2-C5175A02444D}" scale="110" showGridLines="0" state="hidden">
      <selection activeCell="D12" sqref="D12"/>
      <pageMargins left="0.7" right="0.7" top="0.75" bottom="0.75" header="0.3" footer="0.3"/>
      <pageSetup orientation="portrait" r:id="rId27"/>
    </customSheetView>
    <customSheetView guid="{BCAB4838-A37A-4BCF-A9C9-CC50C95F58C7}" scale="110" showGridLines="0" state="hidden">
      <selection activeCell="D12" sqref="D12"/>
      <pageMargins left="0.7" right="0.7" top="0.75" bottom="0.75" header="0.3" footer="0.3"/>
      <pageSetup orientation="portrait" r:id="rId28"/>
    </customSheetView>
    <customSheetView guid="{C4FE72FA-CBE8-407E-8EC2-C280F8FC5007}" scale="110" showGridLines="0" state="hidden">
      <selection activeCell="D12" sqref="D12"/>
      <pageMargins left="0.7" right="0.7" top="0.75" bottom="0.75" header="0.3" footer="0.3"/>
      <pageSetup orientation="portrait" r:id="rId29"/>
    </customSheetView>
    <customSheetView guid="{38FB2C7A-5CFF-4CFC-8EEB-670D05614592}" scale="110" showGridLines="0" state="hidden">
      <selection activeCell="D12" sqref="D12"/>
      <pageMargins left="0.7" right="0.7" top="0.75" bottom="0.75" header="0.3" footer="0.3"/>
      <pageSetup orientation="portrait" r:id="rId30"/>
    </customSheetView>
    <customSheetView guid="{40292D04-273C-4BA2-8BEC-F145CB80DE09}" scale="110" showGridLines="0" state="hidden">
      <selection activeCell="D12" sqref="D12"/>
      <pageMargins left="0.7" right="0.7" top="0.75" bottom="0.75" header="0.3" footer="0.3"/>
      <pageSetup orientation="portrait" r:id="rId31"/>
    </customSheetView>
    <customSheetView guid="{3803F984-A279-41F1-A517-160B18D90A7B}" scale="110" showGridLines="0" state="hidden">
      <selection activeCell="D12" sqref="D12"/>
      <pageMargins left="0.7" right="0.7" top="0.75" bottom="0.75" header="0.3" footer="0.3"/>
      <pageSetup orientation="portrait" r:id="rId32"/>
    </customSheetView>
    <customSheetView guid="{66733AAA-1B52-4C53-8317-97DE8A748E25}" scale="110" showGridLines="0" state="hidden">
      <selection activeCell="D12" sqref="D12"/>
      <pageMargins left="0.7" right="0.7" top="0.75" bottom="0.75" header="0.3" footer="0.3"/>
      <pageSetup orientation="portrait" r:id="rId33"/>
    </customSheetView>
    <customSheetView guid="{7FCE83C1-0279-4E15-8ADF-7AE60DC9131C}" scale="110" showGridLines="0" state="hidden">
      <selection activeCell="D12" sqref="D12"/>
      <pageMargins left="0.7" right="0.7" top="0.75" bottom="0.75" header="0.3" footer="0.3"/>
      <pageSetup orientation="portrait" r:id="rId34"/>
    </customSheetView>
    <customSheetView guid="{F92D650A-7143-46D6-8CDA-595FA977193F}" scale="110" showGridLines="0" state="hidden">
      <selection activeCell="D12" sqref="D12"/>
      <pageMargins left="0.7" right="0.7" top="0.75" bottom="0.75" header="0.3" footer="0.3"/>
      <pageSetup orientation="portrait" r:id="rId35"/>
    </customSheetView>
    <customSheetView guid="{C2D3B09E-3326-4084-AD7A-C8013F4130D6}" scale="110" showGridLines="0" state="hidden">
      <selection activeCell="D12" sqref="D12"/>
      <pageMargins left="0.7" right="0.7" top="0.75" bottom="0.75" header="0.3" footer="0.3"/>
      <pageSetup orientation="portrait" r:id="rId36"/>
    </customSheetView>
    <customSheetView guid="{E1A67331-473F-4161-806C-BE35870C93B5}" scale="110" showGridLines="0" state="hidden">
      <selection activeCell="D12" sqref="D12"/>
      <pageMargins left="0.7" right="0.7" top="0.75" bottom="0.75" header="0.3" footer="0.3"/>
      <pageSetup orientation="portrait" r:id="rId37"/>
    </customSheetView>
    <customSheetView guid="{CC562453-1E6B-4010-9E1B-775397A26EFA}" scale="110" showGridLines="0" state="hidden">
      <selection activeCell="D12" sqref="D12"/>
      <pageMargins left="0.7" right="0.7" top="0.75" bottom="0.75" header="0.3" footer="0.3"/>
      <pageSetup orientation="portrait" r:id="rId38"/>
    </customSheetView>
    <customSheetView guid="{644A6A80-0D34-48F6-A071-17016DCD2D6E}" scale="110" showGridLines="0" state="hidden">
      <selection activeCell="D12" sqref="D12"/>
      <pageMargins left="0.7" right="0.7" top="0.75" bottom="0.75" header="0.3" footer="0.3"/>
      <pageSetup orientation="portrait" r:id="rId39"/>
    </customSheetView>
    <customSheetView guid="{C65059E8-30E8-488B-A0E9-1B7961920C81}" scale="110" showGridLines="0" state="hidden">
      <selection activeCell="D12" sqref="D12"/>
      <pageMargins left="0.7" right="0.7" top="0.75" bottom="0.75" header="0.3" footer="0.3"/>
      <pageSetup orientation="portrait" r:id="rId40"/>
    </customSheetView>
    <customSheetView guid="{95D39BA8-2B16-4954-ABAC-09AD33A86339}" scale="110" showGridLines="0" state="hidden">
      <selection activeCell="D12" sqref="D12"/>
      <pageMargins left="0.7" right="0.7" top="0.75" bottom="0.75" header="0.3" footer="0.3"/>
      <pageSetup orientation="portrait" r:id="rId41"/>
    </customSheetView>
    <customSheetView guid="{25A4A7C0-9593-456C-861C-76D101D3FE93}" scale="110" showGridLines="0" state="hidden">
      <selection activeCell="D12" sqref="D12"/>
      <pageMargins left="0.7" right="0.7" top="0.75" bottom="0.75" header="0.3" footer="0.3"/>
      <pageSetup orientation="portrait" r:id="rId42"/>
    </customSheetView>
    <customSheetView guid="{51BA8A3D-4711-49ED-89E2-EBC09DF2AEDC}" scale="110" showGridLines="0" state="hidden">
      <selection activeCell="D12" sqref="D12"/>
      <pageMargins left="0.7" right="0.7" top="0.75" bottom="0.75" header="0.3" footer="0.3"/>
      <pageSetup orientation="portrait" r:id="rId43"/>
    </customSheetView>
    <customSheetView guid="{629A478C-29B1-4F25-A016-63CE32A1627F}" scale="110" showGridLines="0" state="hidden">
      <selection activeCell="D12" sqref="D12"/>
      <pageMargins left="0.7" right="0.7" top="0.75" bottom="0.75" header="0.3" footer="0.3"/>
      <pageSetup orientation="portrait" r:id="rId44"/>
    </customSheetView>
    <customSheetView guid="{F789A6E6-3D06-4D93-BF02-46FA1A2548B2}" scale="110" showGridLines="0" state="hidden">
      <selection activeCell="D12" sqref="D12"/>
      <pageMargins left="0.7" right="0.7" top="0.75" bottom="0.75" header="0.3" footer="0.3"/>
      <pageSetup orientation="portrait" r:id="rId45"/>
    </customSheetView>
    <customSheetView guid="{15D7A002-B247-4A6B-A16B-61BDD9B0066A}" scale="110" showGridLines="0" state="hidden">
      <selection activeCell="D12" sqref="D12"/>
      <pageMargins left="0.7" right="0.7" top="0.75" bottom="0.75" header="0.3" footer="0.3"/>
      <pageSetup orientation="portrait" r:id="rId46"/>
    </customSheetView>
    <customSheetView guid="{9AFCAA87-4888-4976-A7C9-C06A34CB6C97}" scale="110" showGridLines="0" state="hidden">
      <selection activeCell="D12" sqref="D12"/>
      <pageMargins left="0.7" right="0.7" top="0.75" bottom="0.75" header="0.3" footer="0.3"/>
      <pageSetup orientation="portrait" r:id="rId47"/>
    </customSheetView>
    <customSheetView guid="{E4FF7DB9-14DF-49DB-9F59-1898DDED4DCE}" scale="110" showGridLines="0" state="hidden">
      <selection activeCell="D12" sqref="D12"/>
      <pageMargins left="0.7" right="0.7" top="0.75" bottom="0.75" header="0.3" footer="0.3"/>
      <pageSetup orientation="portrait" r:id="rId48"/>
    </customSheetView>
    <customSheetView guid="{EC7537C6-1678-41C1-B788-EF4AFFECF769}" scale="110" showGridLines="0" state="hidden">
      <selection activeCell="D12" sqref="D12"/>
      <pageMargins left="0.7" right="0.7" top="0.75" bottom="0.75" header="0.3" footer="0.3"/>
      <pageSetup orientation="portrait" r:id="rId49"/>
    </customSheetView>
    <customSheetView guid="{1920E7A3-1C9F-4320-81BB-D11544051025}" scale="110" showGridLines="0" state="hidden">
      <selection activeCell="D12" sqref="D12"/>
      <pageMargins left="0.7" right="0.7" top="0.75" bottom="0.75" header="0.3" footer="0.3"/>
      <pageSetup orientation="portrait" r:id="rId50"/>
    </customSheetView>
    <customSheetView guid="{02D27969-4CD1-473E-A0E8-856AB0664DE8}" scale="110" showGridLines="0" state="hidden">
      <selection activeCell="D12" sqref="D12"/>
      <pageMargins left="0.7" right="0.7" top="0.75" bottom="0.75" header="0.3" footer="0.3"/>
      <pageSetup orientation="portrait" r:id="rId51"/>
    </customSheetView>
    <customSheetView guid="{422703F6-63C4-435C-AFE7-1030286678F6}" scale="110" showGridLines="0" state="hidden">
      <selection activeCell="D12" sqref="D12"/>
      <pageMargins left="0.7" right="0.7" top="0.75" bottom="0.75" header="0.3" footer="0.3"/>
      <pageSetup orientation="portrait" r:id="rId52"/>
    </customSheetView>
    <customSheetView guid="{F3CB97AD-592C-4B6E-8AE3-1CD47479060C}" scale="110" showGridLines="0" state="hidden">
      <selection activeCell="D12" sqref="D12"/>
      <pageMargins left="0.7" right="0.7" top="0.75" bottom="0.75" header="0.3" footer="0.3"/>
      <pageSetup orientation="portrait" r:id="rId53"/>
    </customSheetView>
    <customSheetView guid="{19DA6E7F-8950-4769-9BBE-2798EFA465A3}" scale="110" showGridLines="0" state="hidden">
      <selection activeCell="D12" sqref="D12"/>
      <pageMargins left="0.7" right="0.7" top="0.75" bottom="0.75" header="0.3" footer="0.3"/>
      <pageSetup orientation="portrait" r:id="rId54"/>
    </customSheetView>
    <customSheetView guid="{47C01131-7443-4080-A2BB-6B6AA35C6913}" scale="110" showGridLines="0" state="hidden">
      <selection activeCell="D12" sqref="D12"/>
      <pageMargins left="0.7" right="0.7" top="0.75" bottom="0.75" header="0.3" footer="0.3"/>
      <pageSetup orientation="portrait" r:id="rId55"/>
    </customSheetView>
    <customSheetView guid="{C7330417-67A9-44CF-917F-5F5E2F191AD4}" scale="110" showGridLines="0" state="hidden">
      <selection activeCell="D12" sqref="D12"/>
      <pageMargins left="0.7" right="0.7" top="0.75" bottom="0.75" header="0.3" footer="0.3"/>
      <pageSetup orientation="portrait" r:id="rId56"/>
    </customSheetView>
    <customSheetView guid="{EBA5E9C4-A2DB-4DF0-BF75-1243E968318E}" scale="110" showGridLines="0" state="hidden">
      <selection activeCell="D12" sqref="D12"/>
      <pageMargins left="0.7" right="0.7" top="0.75" bottom="0.75" header="0.3" footer="0.3"/>
      <pageSetup orientation="portrait" r:id="rId57"/>
    </customSheetView>
    <customSheetView guid="{7A7FC9A5-F2B5-4894-82BC-4528575F10D4}" scale="110" showGridLines="0" state="hidden">
      <selection activeCell="D12" sqref="D12"/>
      <pageMargins left="0.7" right="0.7" top="0.75" bottom="0.75" header="0.3" footer="0.3"/>
      <pageSetup orientation="portrait" r:id="rId58"/>
    </customSheetView>
    <customSheetView guid="{6194C141-D0A1-4D58-BA55-90A184525AC3}" scale="110" showGridLines="0" state="hidden">
      <selection activeCell="D12" sqref="D12"/>
      <pageMargins left="0.7" right="0.7" top="0.75" bottom="0.75" header="0.3" footer="0.3"/>
      <pageSetup orientation="portrait" r:id="rId59"/>
    </customSheetView>
    <customSheetView guid="{A5292A6B-6F92-4AB3-B051-EF87F39FC489}" scale="110" showGridLines="0" state="hidden">
      <selection activeCell="D12" sqref="D12"/>
      <pageMargins left="0.7" right="0.7" top="0.75" bottom="0.75" header="0.3" footer="0.3"/>
      <pageSetup orientation="portrait" r:id="rId60"/>
    </customSheetView>
    <customSheetView guid="{C090DFAD-A23A-4678-87F2-095D84EBDDE8}" scale="110" showGridLines="0" state="hidden">
      <selection activeCell="D12" sqref="D12"/>
      <pageMargins left="0.7" right="0.7" top="0.75" bottom="0.75" header="0.3" footer="0.3"/>
      <pageSetup orientation="portrait" r:id="rId61"/>
    </customSheetView>
    <customSheetView guid="{4F11E31F-E14C-416D-BB97-C8CE74658FBE}" scale="110" showGridLines="0" state="hidden">
      <selection activeCell="D12" sqref="D12"/>
      <pageMargins left="0.7" right="0.7" top="0.75" bottom="0.75" header="0.3" footer="0.3"/>
      <pageSetup orientation="portrait" r:id="rId62"/>
    </customSheetView>
    <customSheetView guid="{F2A17A28-A3DF-492D-BAE9-AAEF2A13397B}" scale="110" showGridLines="0" state="hidden">
      <selection activeCell="D12" sqref="D12"/>
      <pageMargins left="0.7" right="0.7" top="0.75" bottom="0.75" header="0.3" footer="0.3"/>
      <pageSetup orientation="portrait" r:id="rId63"/>
    </customSheetView>
    <customSheetView guid="{8F332A92-7271-4FEC-B085-C15AA232FE21}" scale="110" showGridLines="0" state="hidden">
      <selection activeCell="D12" sqref="D12"/>
      <pageMargins left="0.7" right="0.7" top="0.75" bottom="0.75" header="0.3" footer="0.3"/>
      <pageSetup orientation="portrait" r:id="rId64"/>
    </customSheetView>
    <customSheetView guid="{6B1EB7F4-EF59-450E-A531-475C3A6E6150}" scale="110" showGridLines="0" state="hidden">
      <selection activeCell="D12" sqref="D12"/>
      <pageMargins left="0.7" right="0.7" top="0.75" bottom="0.75" header="0.3" footer="0.3"/>
      <pageSetup orientation="portrait" r:id="rId65"/>
    </customSheetView>
    <customSheetView guid="{8EBF087E-11C5-42EE-B564-FAEE72C86C17}" scale="110" showGridLines="0" state="hidden">
      <selection activeCell="D12" sqref="D12"/>
      <pageMargins left="0.7" right="0.7" top="0.75" bottom="0.75" header="0.3" footer="0.3"/>
      <pageSetup orientation="portrait" r:id="rId66"/>
    </customSheetView>
    <customSheetView guid="{F716839F-5448-40FC-95BC-286199FD6764}" scale="110" showGridLines="0" state="hidden">
      <selection activeCell="D12" sqref="D12"/>
      <pageMargins left="0.7" right="0.7" top="0.75" bottom="0.75" header="0.3" footer="0.3"/>
      <pageSetup orientation="portrait" r:id="rId67"/>
    </customSheetView>
    <customSheetView guid="{E712F22D-DF79-4936-B86B-186E637372BF}" scale="110" showGridLines="0" state="hidden">
      <selection activeCell="D12" sqref="D12"/>
      <pageMargins left="0.7" right="0.7" top="0.75" bottom="0.75" header="0.3" footer="0.3"/>
      <pageSetup orientation="portrait" r:id="rId68"/>
    </customSheetView>
    <customSheetView guid="{672B3D91-11D6-418C-A856-9FF74CE5E6FB}" scale="110" showGridLines="0" state="hidden">
      <selection activeCell="D12" sqref="D12"/>
      <pageMargins left="0.7" right="0.7" top="0.75" bottom="0.75" header="0.3" footer="0.3"/>
      <pageSetup orientation="portrait" r:id="rId69"/>
    </customSheetView>
    <customSheetView guid="{5B4753E1-B7DC-40C2-A28F-B07A6CB075FE}" scale="110" showGridLines="0" state="hidden">
      <selection activeCell="D12" sqref="D12"/>
      <pageMargins left="0.7" right="0.7" top="0.75" bottom="0.75" header="0.3" footer="0.3"/>
      <pageSetup orientation="portrait" r:id="rId70"/>
    </customSheetView>
    <customSheetView guid="{EF2006E2-DE9B-4938-AD6F-8255BE7D529F}" scale="110" showGridLines="0" state="hidden">
      <selection activeCell="D12" sqref="D12"/>
      <pageMargins left="0.7" right="0.7" top="0.75" bottom="0.75" header="0.3" footer="0.3"/>
      <pageSetup orientation="portrait" r:id="rId71"/>
    </customSheetView>
    <customSheetView guid="{0BFB30CE-F6D9-44B3-99BA-62858BF46600}" scale="110" showGridLines="0" state="hidden">
      <selection activeCell="D12" sqref="D12"/>
      <pageMargins left="0.7" right="0.7" top="0.75" bottom="0.75" header="0.3" footer="0.3"/>
      <pageSetup orientation="portrait" r:id="rId72"/>
    </customSheetView>
    <customSheetView guid="{E3977DAC-58A9-43A5-A2CD-037AE84A3934}" scale="110" showGridLines="0" state="hidden">
      <selection activeCell="D12" sqref="D12"/>
      <pageMargins left="0.7" right="0.7" top="0.75" bottom="0.75" header="0.3" footer="0.3"/>
      <pageSetup orientation="portrait" r:id="rId73"/>
    </customSheetView>
    <customSheetView guid="{E18774DE-EF27-4708-91D7-FE2A7EE4C992}" scale="110" showGridLines="0" state="hidden">
      <selection activeCell="D12" sqref="D12"/>
      <pageMargins left="0.7" right="0.7" top="0.75" bottom="0.75" header="0.3" footer="0.3"/>
      <pageSetup orientation="portrait" r:id="rId74"/>
    </customSheetView>
    <customSheetView guid="{F102CDDA-1DB7-4BD5-8A8F-CD5640485596}" scale="110" showGridLines="0" state="hidden">
      <selection activeCell="D12" sqref="D12"/>
      <pageMargins left="0.7" right="0.7" top="0.75" bottom="0.75" header="0.3" footer="0.3"/>
      <pageSetup orientation="portrait" r:id="rId75"/>
    </customSheetView>
    <customSheetView guid="{A3C7F73E-8288-4122-801A-9A426BB0DFB8}" scale="110" showGridLines="0" state="hidden">
      <selection activeCell="D12" sqref="D12"/>
      <pageMargins left="0.7" right="0.7" top="0.75" bottom="0.75" header="0.3" footer="0.3"/>
      <pageSetup orientation="portrait" r:id="rId76"/>
    </customSheetView>
    <customSheetView guid="{C1FEC2CE-0AE0-4F12-8438-BD3D230D3830}" scale="110" showGridLines="0" state="hidden">
      <selection activeCell="D12" sqref="D12"/>
      <pageMargins left="0.7" right="0.7" top="0.75" bottom="0.75" header="0.3" footer="0.3"/>
      <pageSetup orientation="portrait" r:id="rId77"/>
    </customSheetView>
    <customSheetView guid="{576A445C-3D9A-438D-AC68-B679E3D65634}" scale="110" showGridLines="0" state="hidden">
      <selection activeCell="D12" sqref="D12"/>
      <pageMargins left="0.7" right="0.7" top="0.75" bottom="0.75" header="0.3" footer="0.3"/>
      <pageSetup orientation="portrait" r:id="rId78"/>
    </customSheetView>
  </customSheetViews>
  <mergeCells count="6">
    <mergeCell ref="B6:D6"/>
    <mergeCell ref="F6:H6"/>
    <mergeCell ref="J6:L6"/>
    <mergeCell ref="B17:C17"/>
    <mergeCell ref="F17:G17"/>
    <mergeCell ref="J17:K17"/>
  </mergeCells>
  <conditionalFormatting sqref="D17">
    <cfRule type="expression" dxfId="8" priority="3">
      <formula>D$17=D$18</formula>
    </cfRule>
  </conditionalFormatting>
  <conditionalFormatting sqref="H17">
    <cfRule type="expression" dxfId="7" priority="2">
      <formula>H$17=H$18</formula>
    </cfRule>
  </conditionalFormatting>
  <conditionalFormatting sqref="L17">
    <cfRule type="expression" dxfId="6" priority="1">
      <formula>L$17=L$18</formula>
    </cfRule>
  </conditionalFormatting>
  <pageMargins left="0.7" right="0.7" top="0.75" bottom="0.75" header="0.3" footer="0.3"/>
  <pageSetup orientation="portrait" r:id="rId79"/>
  <ignoredErrors>
    <ignoredError sqref="L18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L17"/>
  <sheetViews>
    <sheetView showGridLines="0" zoomScale="110" zoomScaleNormal="110" workbookViewId="0">
      <selection activeCell="F16" sqref="F16:G16"/>
    </sheetView>
  </sheetViews>
  <sheetFormatPr defaultRowHeight="18.75" x14ac:dyDescent="0.3"/>
  <cols>
    <col min="1" max="1" width="13.42578125" style="5" customWidth="1"/>
    <col min="2" max="2" width="17.140625" style="5" bestFit="1" customWidth="1"/>
    <col min="3" max="3" width="8.28515625" style="5" bestFit="1" customWidth="1"/>
    <col min="4" max="4" width="13.85546875" style="5" bestFit="1" customWidth="1"/>
    <col min="5" max="5" width="11.42578125" style="5" customWidth="1"/>
    <col min="6" max="6" width="17.140625" style="5" bestFit="1" customWidth="1"/>
    <col min="7" max="7" width="9.85546875" style="5" bestFit="1" customWidth="1"/>
    <col min="8" max="8" width="13.85546875" style="5" bestFit="1" customWidth="1"/>
    <col min="9" max="9" width="9.140625" style="5"/>
    <col min="10" max="10" width="17.140625" style="5" bestFit="1" customWidth="1"/>
    <col min="11" max="11" width="8.28515625" style="5" bestFit="1" customWidth="1"/>
    <col min="12" max="12" width="13.85546875" style="5" bestFit="1" customWidth="1"/>
    <col min="13" max="16384" width="9.140625" style="5"/>
  </cols>
  <sheetData>
    <row r="2" spans="2:12" customFormat="1" ht="15" x14ac:dyDescent="0.25"/>
    <row r="5" spans="2:12" x14ac:dyDescent="0.3">
      <c r="B5" s="20" t="s">
        <v>19</v>
      </c>
      <c r="C5" s="20"/>
      <c r="D5" s="20"/>
      <c r="F5" s="20" t="s">
        <v>20</v>
      </c>
      <c r="G5" s="20"/>
      <c r="H5" s="20"/>
      <c r="J5" s="20" t="s">
        <v>21</v>
      </c>
      <c r="K5" s="20"/>
      <c r="L5" s="20"/>
    </row>
    <row r="6" spans="2:12" x14ac:dyDescent="0.3">
      <c r="B6" s="10" t="s">
        <v>17</v>
      </c>
      <c r="C6" s="10" t="s">
        <v>16</v>
      </c>
      <c r="D6" s="10" t="s">
        <v>15</v>
      </c>
      <c r="E6" s="9"/>
      <c r="F6" s="10" t="s">
        <v>17</v>
      </c>
      <c r="G6" s="10" t="s">
        <v>16</v>
      </c>
      <c r="H6" s="10" t="s">
        <v>15</v>
      </c>
      <c r="I6" s="9"/>
      <c r="J6" s="10" t="s">
        <v>17</v>
      </c>
      <c r="K6" s="10" t="s">
        <v>16</v>
      </c>
      <c r="L6" s="10" t="s">
        <v>15</v>
      </c>
    </row>
    <row r="7" spans="2:12" x14ac:dyDescent="0.3">
      <c r="B7" s="6" t="s">
        <v>13</v>
      </c>
      <c r="C7" s="6">
        <v>7.85</v>
      </c>
      <c r="D7" s="6" t="s">
        <v>12</v>
      </c>
      <c r="E7" s="7" t="str">
        <f t="shared" ref="E7:E12" si="0">_xlfn.IFS(B7&gt;=6,"Yes, it is over 6")</f>
        <v>Yes, it is over 6</v>
      </c>
      <c r="F7" s="6" t="s">
        <v>13</v>
      </c>
      <c r="G7" s="6">
        <v>10.25</v>
      </c>
      <c r="H7" s="6" t="s">
        <v>12</v>
      </c>
      <c r="J7" s="6" t="s">
        <v>7</v>
      </c>
      <c r="K7" s="6">
        <v>9.65</v>
      </c>
      <c r="L7" s="6" t="s">
        <v>6</v>
      </c>
    </row>
    <row r="8" spans="2:12" x14ac:dyDescent="0.3">
      <c r="B8" s="6" t="s">
        <v>11</v>
      </c>
      <c r="C8" s="6">
        <v>3.25</v>
      </c>
      <c r="D8" s="6" t="s">
        <v>10</v>
      </c>
      <c r="E8" s="7" t="str">
        <f t="shared" si="0"/>
        <v>Yes, it is over 6</v>
      </c>
      <c r="F8" s="6" t="s">
        <v>13</v>
      </c>
      <c r="G8" s="6">
        <v>9.75</v>
      </c>
      <c r="H8" s="6" t="s">
        <v>12</v>
      </c>
      <c r="J8" s="6" t="s">
        <v>7</v>
      </c>
      <c r="K8" s="8">
        <v>5.5</v>
      </c>
      <c r="L8" s="6" t="s">
        <v>6</v>
      </c>
    </row>
    <row r="9" spans="2:12" ht="21" customHeight="1" x14ac:dyDescent="0.3">
      <c r="B9" s="6" t="s">
        <v>9</v>
      </c>
      <c r="C9" s="6">
        <v>12.5</v>
      </c>
      <c r="D9" s="6" t="s">
        <v>8</v>
      </c>
      <c r="E9" s="7" t="str">
        <f t="shared" si="0"/>
        <v>Yes, it is over 6</v>
      </c>
      <c r="F9" s="6" t="s">
        <v>2</v>
      </c>
      <c r="G9" s="6">
        <v>5.25</v>
      </c>
      <c r="H9" s="6" t="s">
        <v>1</v>
      </c>
      <c r="J9" s="6" t="s">
        <v>11</v>
      </c>
      <c r="K9" s="8">
        <v>4.5</v>
      </c>
      <c r="L9" s="6" t="s">
        <v>10</v>
      </c>
    </row>
    <row r="10" spans="2:12" x14ac:dyDescent="0.3">
      <c r="B10" s="6" t="s">
        <v>7</v>
      </c>
      <c r="C10" s="6">
        <v>6.35</v>
      </c>
      <c r="D10" s="6" t="s">
        <v>6</v>
      </c>
      <c r="E10" s="7" t="str">
        <f t="shared" si="0"/>
        <v>Yes, it is over 6</v>
      </c>
      <c r="F10" s="6" t="s">
        <v>4</v>
      </c>
      <c r="G10" s="6">
        <v>3.75</v>
      </c>
      <c r="H10" s="6" t="s">
        <v>3</v>
      </c>
      <c r="J10" s="6" t="s">
        <v>9</v>
      </c>
      <c r="K10" s="8">
        <v>10.25</v>
      </c>
      <c r="L10" s="6" t="s">
        <v>8</v>
      </c>
    </row>
    <row r="11" spans="2:12" x14ac:dyDescent="0.3">
      <c r="B11" s="6" t="s">
        <v>4</v>
      </c>
      <c r="C11" s="6">
        <v>2.5</v>
      </c>
      <c r="D11" s="6" t="s">
        <v>3</v>
      </c>
      <c r="E11" s="7" t="str">
        <f t="shared" si="0"/>
        <v>Yes, it is over 6</v>
      </c>
      <c r="F11" s="6" t="s">
        <v>9</v>
      </c>
      <c r="G11" s="8">
        <v>11.99</v>
      </c>
      <c r="H11" s="6" t="s">
        <v>8</v>
      </c>
      <c r="J11" s="6" t="s">
        <v>4</v>
      </c>
      <c r="K11" s="8">
        <v>6.5</v>
      </c>
      <c r="L11" s="6" t="s">
        <v>3</v>
      </c>
    </row>
    <row r="12" spans="2:12" x14ac:dyDescent="0.3">
      <c r="B12" s="6" t="s">
        <v>2</v>
      </c>
      <c r="C12" s="6">
        <v>6.5</v>
      </c>
      <c r="D12" s="6" t="s">
        <v>1</v>
      </c>
      <c r="E12" s="7" t="str">
        <f t="shared" si="0"/>
        <v>Yes, it is over 6</v>
      </c>
      <c r="F12" s="6" t="s">
        <v>11</v>
      </c>
      <c r="G12" s="8">
        <v>5.5</v>
      </c>
      <c r="H12" s="6" t="s">
        <v>10</v>
      </c>
      <c r="J12" s="6" t="s">
        <v>2</v>
      </c>
      <c r="K12" s="6">
        <v>9.25</v>
      </c>
      <c r="L12" s="6" t="s">
        <v>1</v>
      </c>
    </row>
    <row r="13" spans="2:12" x14ac:dyDescent="0.3">
      <c r="B13" s="6" t="s">
        <v>13</v>
      </c>
      <c r="C13" s="6">
        <v>8.75</v>
      </c>
      <c r="D13" s="6" t="s">
        <v>12</v>
      </c>
      <c r="F13" s="6" t="s">
        <v>7</v>
      </c>
      <c r="G13" s="8">
        <v>2.5</v>
      </c>
      <c r="H13" s="6" t="s">
        <v>6</v>
      </c>
      <c r="J13" s="6" t="s">
        <v>13</v>
      </c>
      <c r="K13" s="8">
        <v>7.4</v>
      </c>
      <c r="L13" s="6" t="s">
        <v>12</v>
      </c>
    </row>
    <row r="14" spans="2:12" x14ac:dyDescent="0.3">
      <c r="B14" s="6" t="s">
        <v>7</v>
      </c>
      <c r="C14" s="6">
        <v>4.6500000000000004</v>
      </c>
      <c r="D14" s="6" t="s">
        <v>6</v>
      </c>
      <c r="F14" s="6" t="s">
        <v>7</v>
      </c>
      <c r="G14" s="8">
        <v>4.5</v>
      </c>
      <c r="H14" s="6" t="s">
        <v>6</v>
      </c>
      <c r="J14" s="6" t="s">
        <v>13</v>
      </c>
      <c r="K14" s="6">
        <v>8.75</v>
      </c>
      <c r="L14" s="6" t="s">
        <v>12</v>
      </c>
    </row>
    <row r="16" spans="2:12" ht="45.75" customHeight="1" x14ac:dyDescent="0.3">
      <c r="B16" s="21" t="s">
        <v>34</v>
      </c>
      <c r="C16" s="21"/>
      <c r="D16" s="11">
        <f>MIN(C7:C14,G7:G14,K7:K14)</f>
        <v>2.5</v>
      </c>
      <c r="F16" s="21" t="s">
        <v>38</v>
      </c>
      <c r="G16" s="21"/>
      <c r="H16" s="11">
        <f>MIN(G7:G14,K7:K14)</f>
        <v>2.5</v>
      </c>
      <c r="J16" s="21" t="s">
        <v>39</v>
      </c>
      <c r="K16" s="21"/>
      <c r="L16" s="13">
        <f>MIN(C13,C7,G7:G8,K13:K14)</f>
        <v>7.4</v>
      </c>
    </row>
    <row r="17" spans="4:12" x14ac:dyDescent="0.3">
      <c r="D17" s="7">
        <f>MIN(C7:C14,G7:G14,K7:K14)</f>
        <v>2.5</v>
      </c>
      <c r="H17" s="7">
        <f>MIN(G7:G14,K7:K14)</f>
        <v>2.5</v>
      </c>
      <c r="L17" s="12">
        <f>MIN(G7:G8,K13:K14,C7,C13)</f>
        <v>7.4</v>
      </c>
    </row>
  </sheetData>
  <customSheetViews>
    <customSheetView guid="{4725FB26-BADE-478E-8CB6-C0172942A9EE}" scale="110" showGridLines="0" topLeftCell="A3">
      <selection activeCell="D16" sqref="D16"/>
      <pageMargins left="0.7" right="0.7" top="0.75" bottom="0.75" header="0.3" footer="0.3"/>
      <pageSetup orientation="portrait" r:id="rId1"/>
    </customSheetView>
    <customSheetView guid="{5B82F60B-B869-45D3-9A7D-2B843E789197}" scale="110" showGridLines="0">
      <selection activeCell="F16" sqref="F16:G16"/>
      <pageMargins left="0.7" right="0.7" top="0.75" bottom="0.75" header="0.3" footer="0.3"/>
      <pageSetup orientation="portrait" r:id="rId2"/>
    </customSheetView>
    <customSheetView guid="{73745901-4C3A-49DD-83C4-0AEBB167DB63}" scale="110" showGridLines="0">
      <selection activeCell="F16" sqref="F16:G16"/>
      <pageMargins left="0.7" right="0.7" top="0.75" bottom="0.75" header="0.3" footer="0.3"/>
      <pageSetup orientation="portrait" r:id="rId3"/>
    </customSheetView>
    <customSheetView guid="{AE37E6D9-7485-4A75-9115-FDBD1A6E08D0}" scale="110" showGridLines="0">
      <selection activeCell="F16" sqref="F16:G16"/>
      <pageMargins left="0.7" right="0.7" top="0.75" bottom="0.75" header="0.3" footer="0.3"/>
      <pageSetup orientation="portrait" r:id="rId4"/>
    </customSheetView>
    <customSheetView guid="{28C5C254-2672-4A7F-9398-2FA6F99EE3FF}" scale="110" showGridLines="0">
      <selection activeCell="F16" sqref="F16:G16"/>
      <pageMargins left="0.7" right="0.7" top="0.75" bottom="0.75" header="0.3" footer="0.3"/>
      <pageSetup orientation="portrait" r:id="rId5"/>
    </customSheetView>
    <customSheetView guid="{9967D63C-4135-4BF7-A83B-0EC0A28A8504}" scale="110" showGridLines="0">
      <selection activeCell="F16" sqref="F16:G16"/>
      <pageMargins left="0.7" right="0.7" top="0.75" bottom="0.75" header="0.3" footer="0.3"/>
      <pageSetup orientation="portrait" r:id="rId6"/>
    </customSheetView>
    <customSheetView guid="{8DC39A41-9961-4A5C-8659-B8A82A01A470}" scale="110" showGridLines="0">
      <selection activeCell="F16" sqref="F16:G16"/>
      <pageMargins left="0.7" right="0.7" top="0.75" bottom="0.75" header="0.3" footer="0.3"/>
      <pageSetup orientation="portrait" r:id="rId7"/>
    </customSheetView>
    <customSheetView guid="{06F040C9-291C-44DD-A11A-B2BAF2078CA1}" scale="110" showGridLines="0">
      <selection activeCell="F16" sqref="F16:G16"/>
      <pageMargins left="0.7" right="0.7" top="0.75" bottom="0.75" header="0.3" footer="0.3"/>
      <pageSetup orientation="portrait" r:id="rId8"/>
    </customSheetView>
    <customSheetView guid="{AC1AC0BB-7D81-4427-80BF-DB36D3CC12C1}" scale="110" showGridLines="0">
      <selection activeCell="F16" sqref="F16:G16"/>
      <pageMargins left="0.7" right="0.7" top="0.75" bottom="0.75" header="0.3" footer="0.3"/>
      <pageSetup orientation="portrait" r:id="rId9"/>
    </customSheetView>
    <customSheetView guid="{31F90F3E-FB31-437F-ADCE-44D58804C41D}" scale="110" showGridLines="0">
      <selection activeCell="F16" sqref="F16:G16"/>
      <pageMargins left="0.7" right="0.7" top="0.75" bottom="0.75" header="0.3" footer="0.3"/>
      <pageSetup orientation="portrait" r:id="rId10"/>
    </customSheetView>
    <customSheetView guid="{57F7A421-8FD3-4470-813D-526D207C0AED}" scale="110" showGridLines="0">
      <selection activeCell="F16" sqref="F16:G16"/>
      <pageMargins left="0.7" right="0.7" top="0.75" bottom="0.75" header="0.3" footer="0.3"/>
      <pageSetup orientation="portrait" r:id="rId11"/>
    </customSheetView>
    <customSheetView guid="{E065FC95-9F37-4AD0-A6AF-202A080459EB}" scale="110" showGridLines="0">
      <selection activeCell="F16" sqref="F16:G16"/>
      <pageMargins left="0.7" right="0.7" top="0.75" bottom="0.75" header="0.3" footer="0.3"/>
      <pageSetup orientation="portrait" r:id="rId12"/>
    </customSheetView>
    <customSheetView guid="{A979108F-FF23-4967-8663-1A0C9618D854}" scale="110" showGridLines="0">
      <selection activeCell="F16" sqref="F16:G16"/>
      <pageMargins left="0.7" right="0.7" top="0.75" bottom="0.75" header="0.3" footer="0.3"/>
      <pageSetup orientation="portrait" r:id="rId13"/>
    </customSheetView>
    <customSheetView guid="{AD9596A8-734D-48AD-8922-A58933E39AB8}" scale="110" showGridLines="0">
      <selection activeCell="F16" sqref="F16:G16"/>
      <pageMargins left="0.7" right="0.7" top="0.75" bottom="0.75" header="0.3" footer="0.3"/>
      <pageSetup orientation="portrait" r:id="rId14"/>
    </customSheetView>
    <customSheetView guid="{DFB07116-697D-42FF-ACBD-E8FE92938B16}" scale="110" showGridLines="0">
      <selection activeCell="F16" sqref="F16:G16"/>
      <pageMargins left="0.7" right="0.7" top="0.75" bottom="0.75" header="0.3" footer="0.3"/>
      <pageSetup orientation="portrait" r:id="rId15"/>
    </customSheetView>
    <customSheetView guid="{2032DE14-E33D-44B5-9022-A2B48F059704}" scale="110" showGridLines="0" state="hidden">
      <selection activeCell="F16" sqref="F16:G16"/>
      <pageMargins left="0.7" right="0.7" top="0.75" bottom="0.75" header="0.3" footer="0.3"/>
      <pageSetup orientation="portrait" r:id="rId16"/>
    </customSheetView>
    <customSheetView guid="{EE4A95A5-BF42-4BAA-B9EB-84A9230A28F9}" scale="110" showGridLines="0" state="hidden">
      <selection activeCell="F16" sqref="F16:G16"/>
      <pageMargins left="0.7" right="0.7" top="0.75" bottom="0.75" header="0.3" footer="0.3"/>
      <pageSetup orientation="portrait" r:id="rId17"/>
    </customSheetView>
    <customSheetView guid="{8BEA0E04-8B9A-4A2D-9B80-4E7685E22D5E}" scale="110" showGridLines="0" state="hidden">
      <selection activeCell="F16" sqref="F16:G16"/>
      <pageMargins left="0.7" right="0.7" top="0.75" bottom="0.75" header="0.3" footer="0.3"/>
      <pageSetup orientation="portrait" r:id="rId18"/>
    </customSheetView>
    <customSheetView guid="{0125BE01-BBC8-4E5A-9A9A-3D1257916B8C}" scale="110" showGridLines="0" state="hidden">
      <selection activeCell="F16" sqref="F16:G16"/>
      <pageMargins left="0.7" right="0.7" top="0.75" bottom="0.75" header="0.3" footer="0.3"/>
      <pageSetup orientation="portrait" r:id="rId19"/>
    </customSheetView>
    <customSheetView guid="{7A9AB605-DB82-470C-B86B-95E2AB3523F6}" scale="110" showGridLines="0" state="hidden">
      <selection activeCell="F16" sqref="F16:G16"/>
      <pageMargins left="0.7" right="0.7" top="0.75" bottom="0.75" header="0.3" footer="0.3"/>
      <pageSetup orientation="portrait" r:id="rId20"/>
    </customSheetView>
    <customSheetView guid="{FC8D231F-57F9-45EE-9DEF-D7ED111600EB}" scale="110" showGridLines="0" state="hidden">
      <selection activeCell="F16" sqref="F16:G16"/>
      <pageMargins left="0.7" right="0.7" top="0.75" bottom="0.75" header="0.3" footer="0.3"/>
      <pageSetup orientation="portrait" r:id="rId21"/>
    </customSheetView>
    <customSheetView guid="{395DC3D6-3299-4A43-88E2-62703FCC0349}" scale="110" showGridLines="0" state="hidden">
      <selection activeCell="F16" sqref="F16:G16"/>
      <pageMargins left="0.7" right="0.7" top="0.75" bottom="0.75" header="0.3" footer="0.3"/>
      <pageSetup orientation="portrait" r:id="rId22"/>
    </customSheetView>
    <customSheetView guid="{5C8F4C13-387F-42D2-8CB5-92C4886D7919}" scale="110" showGridLines="0" state="hidden">
      <selection activeCell="F16" sqref="F16:G16"/>
      <pageMargins left="0.7" right="0.7" top="0.75" bottom="0.75" header="0.3" footer="0.3"/>
      <pageSetup orientation="portrait" r:id="rId23"/>
    </customSheetView>
    <customSheetView guid="{8A25BF65-C908-4B2F-9805-3CD39BD4330E}" scale="110" showGridLines="0" state="hidden">
      <selection activeCell="F16" sqref="F16:G16"/>
      <pageMargins left="0.7" right="0.7" top="0.75" bottom="0.75" header="0.3" footer="0.3"/>
      <pageSetup orientation="portrait" r:id="rId24"/>
    </customSheetView>
    <customSheetView guid="{F9A03991-7A83-41AE-B603-3D22265CDA22}" scale="110" showGridLines="0" state="hidden">
      <selection activeCell="F16" sqref="F16:G16"/>
      <pageMargins left="0.7" right="0.7" top="0.75" bottom="0.75" header="0.3" footer="0.3"/>
      <pageSetup orientation="portrait" r:id="rId25"/>
    </customSheetView>
    <customSheetView guid="{FEB5A49F-F7F7-412A-BE72-F90F7A4799C8}" scale="110" showGridLines="0" state="hidden">
      <selection activeCell="F16" sqref="F16:G16"/>
      <pageMargins left="0.7" right="0.7" top="0.75" bottom="0.75" header="0.3" footer="0.3"/>
      <pageSetup orientation="portrait" r:id="rId26"/>
    </customSheetView>
    <customSheetView guid="{F518ECB9-5D92-41E0-BFD2-C5175A02444D}" scale="110" showGridLines="0" state="hidden">
      <selection activeCell="F16" sqref="F16:G16"/>
      <pageMargins left="0.7" right="0.7" top="0.75" bottom="0.75" header="0.3" footer="0.3"/>
      <pageSetup orientation="portrait" r:id="rId27"/>
    </customSheetView>
    <customSheetView guid="{BCAB4838-A37A-4BCF-A9C9-CC50C95F58C7}" scale="110" showGridLines="0" state="hidden">
      <selection activeCell="F16" sqref="F16:G16"/>
      <pageMargins left="0.7" right="0.7" top="0.75" bottom="0.75" header="0.3" footer="0.3"/>
      <pageSetup orientation="portrait" r:id="rId28"/>
    </customSheetView>
    <customSheetView guid="{C4FE72FA-CBE8-407E-8EC2-C280F8FC5007}" scale="110" showGridLines="0" state="hidden">
      <selection activeCell="F16" sqref="F16:G16"/>
      <pageMargins left="0.7" right="0.7" top="0.75" bottom="0.75" header="0.3" footer="0.3"/>
      <pageSetup orientation="portrait" r:id="rId29"/>
    </customSheetView>
    <customSheetView guid="{38FB2C7A-5CFF-4CFC-8EEB-670D05614592}" scale="110" showGridLines="0" state="hidden">
      <selection activeCell="F16" sqref="F16:G16"/>
      <pageMargins left="0.7" right="0.7" top="0.75" bottom="0.75" header="0.3" footer="0.3"/>
      <pageSetup orientation="portrait" r:id="rId30"/>
    </customSheetView>
    <customSheetView guid="{40292D04-273C-4BA2-8BEC-F145CB80DE09}" scale="110" showGridLines="0" state="hidden">
      <selection activeCell="F16" sqref="F16:G16"/>
      <pageMargins left="0.7" right="0.7" top="0.75" bottom="0.75" header="0.3" footer="0.3"/>
      <pageSetup orientation="portrait" r:id="rId31"/>
    </customSheetView>
    <customSheetView guid="{3803F984-A279-41F1-A517-160B18D90A7B}" scale="110" showGridLines="0" state="hidden">
      <selection activeCell="F16" sqref="F16:G16"/>
      <pageMargins left="0.7" right="0.7" top="0.75" bottom="0.75" header="0.3" footer="0.3"/>
      <pageSetup orientation="portrait" r:id="rId32"/>
    </customSheetView>
    <customSheetView guid="{66733AAA-1B52-4C53-8317-97DE8A748E25}" scale="110" showGridLines="0" state="hidden">
      <selection activeCell="F16" sqref="F16:G16"/>
      <pageMargins left="0.7" right="0.7" top="0.75" bottom="0.75" header="0.3" footer="0.3"/>
      <pageSetup orientation="portrait" r:id="rId33"/>
    </customSheetView>
    <customSheetView guid="{7FCE83C1-0279-4E15-8ADF-7AE60DC9131C}" scale="110" showGridLines="0" state="hidden">
      <selection activeCell="F16" sqref="F16:G16"/>
      <pageMargins left="0.7" right="0.7" top="0.75" bottom="0.75" header="0.3" footer="0.3"/>
      <pageSetup orientation="portrait" r:id="rId34"/>
    </customSheetView>
    <customSheetView guid="{F92D650A-7143-46D6-8CDA-595FA977193F}" scale="110" showGridLines="0" state="hidden">
      <selection activeCell="F16" sqref="F16:G16"/>
      <pageMargins left="0.7" right="0.7" top="0.75" bottom="0.75" header="0.3" footer="0.3"/>
      <pageSetup orientation="portrait" r:id="rId35"/>
    </customSheetView>
    <customSheetView guid="{C2D3B09E-3326-4084-AD7A-C8013F4130D6}" scale="110" showGridLines="0" state="hidden">
      <selection activeCell="F16" sqref="F16:G16"/>
      <pageMargins left="0.7" right="0.7" top="0.75" bottom="0.75" header="0.3" footer="0.3"/>
      <pageSetup orientation="portrait" r:id="rId36"/>
    </customSheetView>
    <customSheetView guid="{E1A67331-473F-4161-806C-BE35870C93B5}" scale="110" showGridLines="0" state="hidden">
      <selection activeCell="F16" sqref="F16:G16"/>
      <pageMargins left="0.7" right="0.7" top="0.75" bottom="0.75" header="0.3" footer="0.3"/>
      <pageSetup orientation="portrait" r:id="rId37"/>
    </customSheetView>
    <customSheetView guid="{CC562453-1E6B-4010-9E1B-775397A26EFA}" scale="110" showGridLines="0" state="hidden">
      <selection activeCell="F16" sqref="F16:G16"/>
      <pageMargins left="0.7" right="0.7" top="0.75" bottom="0.75" header="0.3" footer="0.3"/>
      <pageSetup orientation="portrait" r:id="rId38"/>
    </customSheetView>
    <customSheetView guid="{644A6A80-0D34-48F6-A071-17016DCD2D6E}" scale="110" showGridLines="0" state="hidden">
      <selection activeCell="F16" sqref="F16:G16"/>
      <pageMargins left="0.7" right="0.7" top="0.75" bottom="0.75" header="0.3" footer="0.3"/>
      <pageSetup orientation="portrait" r:id="rId39"/>
    </customSheetView>
    <customSheetView guid="{C65059E8-30E8-488B-A0E9-1B7961920C81}" scale="110" showGridLines="0" state="hidden">
      <selection activeCell="F16" sqref="F16:G16"/>
      <pageMargins left="0.7" right="0.7" top="0.75" bottom="0.75" header="0.3" footer="0.3"/>
      <pageSetup orientation="portrait" r:id="rId40"/>
    </customSheetView>
    <customSheetView guid="{95D39BA8-2B16-4954-ABAC-09AD33A86339}" scale="110" showGridLines="0" state="hidden">
      <selection activeCell="F16" sqref="F16:G16"/>
      <pageMargins left="0.7" right="0.7" top="0.75" bottom="0.75" header="0.3" footer="0.3"/>
      <pageSetup orientation="portrait" r:id="rId41"/>
    </customSheetView>
    <customSheetView guid="{25A4A7C0-9593-456C-861C-76D101D3FE93}" scale="110" showGridLines="0" state="hidden">
      <selection activeCell="F16" sqref="F16:G16"/>
      <pageMargins left="0.7" right="0.7" top="0.75" bottom="0.75" header="0.3" footer="0.3"/>
      <pageSetup orientation="portrait" r:id="rId42"/>
    </customSheetView>
    <customSheetView guid="{51BA8A3D-4711-49ED-89E2-EBC09DF2AEDC}" scale="110" showGridLines="0" state="hidden">
      <selection activeCell="F16" sqref="F16:G16"/>
      <pageMargins left="0.7" right="0.7" top="0.75" bottom="0.75" header="0.3" footer="0.3"/>
      <pageSetup orientation="portrait" r:id="rId43"/>
    </customSheetView>
    <customSheetView guid="{629A478C-29B1-4F25-A016-63CE32A1627F}" scale="110" showGridLines="0" state="hidden">
      <selection activeCell="F16" sqref="F16:G16"/>
      <pageMargins left="0.7" right="0.7" top="0.75" bottom="0.75" header="0.3" footer="0.3"/>
      <pageSetup orientation="portrait" r:id="rId44"/>
    </customSheetView>
    <customSheetView guid="{F789A6E6-3D06-4D93-BF02-46FA1A2548B2}" scale="110" showGridLines="0" state="hidden">
      <selection activeCell="F16" sqref="F16:G16"/>
      <pageMargins left="0.7" right="0.7" top="0.75" bottom="0.75" header="0.3" footer="0.3"/>
      <pageSetup orientation="portrait" r:id="rId45"/>
    </customSheetView>
    <customSheetView guid="{15D7A002-B247-4A6B-A16B-61BDD9B0066A}" scale="110" showGridLines="0" state="hidden">
      <selection activeCell="F16" sqref="F16:G16"/>
      <pageMargins left="0.7" right="0.7" top="0.75" bottom="0.75" header="0.3" footer="0.3"/>
      <pageSetup orientation="portrait" r:id="rId46"/>
    </customSheetView>
    <customSheetView guid="{9AFCAA87-4888-4976-A7C9-C06A34CB6C97}" scale="110" showGridLines="0" state="hidden">
      <selection activeCell="F16" sqref="F16:G16"/>
      <pageMargins left="0.7" right="0.7" top="0.75" bottom="0.75" header="0.3" footer="0.3"/>
      <pageSetup orientation="portrait" r:id="rId47"/>
    </customSheetView>
    <customSheetView guid="{E4FF7DB9-14DF-49DB-9F59-1898DDED4DCE}" scale="110" showGridLines="0" state="hidden">
      <selection activeCell="F16" sqref="F16:G16"/>
      <pageMargins left="0.7" right="0.7" top="0.75" bottom="0.75" header="0.3" footer="0.3"/>
      <pageSetup orientation="portrait" r:id="rId48"/>
    </customSheetView>
    <customSheetView guid="{EC7537C6-1678-41C1-B788-EF4AFFECF769}" scale="110" showGridLines="0" state="hidden">
      <selection activeCell="F16" sqref="F16:G16"/>
      <pageMargins left="0.7" right="0.7" top="0.75" bottom="0.75" header="0.3" footer="0.3"/>
      <pageSetup orientation="portrait" r:id="rId49"/>
    </customSheetView>
    <customSheetView guid="{1920E7A3-1C9F-4320-81BB-D11544051025}" scale="110" showGridLines="0" state="hidden">
      <selection activeCell="F16" sqref="F16:G16"/>
      <pageMargins left="0.7" right="0.7" top="0.75" bottom="0.75" header="0.3" footer="0.3"/>
      <pageSetup orientation="portrait" r:id="rId50"/>
    </customSheetView>
    <customSheetView guid="{02D27969-4CD1-473E-A0E8-856AB0664DE8}" scale="110" showGridLines="0" state="hidden">
      <selection activeCell="F16" sqref="F16:G16"/>
      <pageMargins left="0.7" right="0.7" top="0.75" bottom="0.75" header="0.3" footer="0.3"/>
      <pageSetup orientation="portrait" r:id="rId51"/>
    </customSheetView>
    <customSheetView guid="{422703F6-63C4-435C-AFE7-1030286678F6}" scale="110" showGridLines="0" state="hidden">
      <selection activeCell="F16" sqref="F16:G16"/>
      <pageMargins left="0.7" right="0.7" top="0.75" bottom="0.75" header="0.3" footer="0.3"/>
      <pageSetup orientation="portrait" r:id="rId52"/>
    </customSheetView>
    <customSheetView guid="{F3CB97AD-592C-4B6E-8AE3-1CD47479060C}" scale="110" showGridLines="0" state="hidden">
      <selection activeCell="F16" sqref="F16:G16"/>
      <pageMargins left="0.7" right="0.7" top="0.75" bottom="0.75" header="0.3" footer="0.3"/>
      <pageSetup orientation="portrait" r:id="rId53"/>
    </customSheetView>
    <customSheetView guid="{19DA6E7F-8950-4769-9BBE-2798EFA465A3}" scale="110" showGridLines="0" state="hidden">
      <selection activeCell="F16" sqref="F16:G16"/>
      <pageMargins left="0.7" right="0.7" top="0.75" bottom="0.75" header="0.3" footer="0.3"/>
      <pageSetup orientation="portrait" r:id="rId54"/>
    </customSheetView>
    <customSheetView guid="{47C01131-7443-4080-A2BB-6B6AA35C6913}" scale="110" showGridLines="0" state="hidden">
      <selection activeCell="F16" sqref="F16:G16"/>
      <pageMargins left="0.7" right="0.7" top="0.75" bottom="0.75" header="0.3" footer="0.3"/>
      <pageSetup orientation="portrait" r:id="rId55"/>
    </customSheetView>
    <customSheetView guid="{C7330417-67A9-44CF-917F-5F5E2F191AD4}" scale="110" showGridLines="0" state="hidden">
      <selection activeCell="F16" sqref="F16:G16"/>
      <pageMargins left="0.7" right="0.7" top="0.75" bottom="0.75" header="0.3" footer="0.3"/>
      <pageSetup orientation="portrait" r:id="rId56"/>
    </customSheetView>
    <customSheetView guid="{EBA5E9C4-A2DB-4DF0-BF75-1243E968318E}" scale="110" showGridLines="0" state="hidden">
      <selection activeCell="F16" sqref="F16:G16"/>
      <pageMargins left="0.7" right="0.7" top="0.75" bottom="0.75" header="0.3" footer="0.3"/>
      <pageSetup orientation="portrait" r:id="rId57"/>
    </customSheetView>
    <customSheetView guid="{7A7FC9A5-F2B5-4894-82BC-4528575F10D4}" scale="110" showGridLines="0" state="hidden">
      <selection activeCell="F16" sqref="F16:G16"/>
      <pageMargins left="0.7" right="0.7" top="0.75" bottom="0.75" header="0.3" footer="0.3"/>
      <pageSetup orientation="portrait" r:id="rId58"/>
    </customSheetView>
    <customSheetView guid="{6194C141-D0A1-4D58-BA55-90A184525AC3}" scale="110" showGridLines="0" state="hidden">
      <selection activeCell="F16" sqref="F16:G16"/>
      <pageMargins left="0.7" right="0.7" top="0.75" bottom="0.75" header="0.3" footer="0.3"/>
      <pageSetup orientation="portrait" r:id="rId59"/>
    </customSheetView>
    <customSheetView guid="{A5292A6B-6F92-4AB3-B051-EF87F39FC489}" scale="110" showGridLines="0" state="hidden">
      <selection activeCell="F16" sqref="F16:G16"/>
      <pageMargins left="0.7" right="0.7" top="0.75" bottom="0.75" header="0.3" footer="0.3"/>
      <pageSetup orientation="portrait" r:id="rId60"/>
    </customSheetView>
    <customSheetView guid="{C090DFAD-A23A-4678-87F2-095D84EBDDE8}" scale="110" showGridLines="0" state="hidden">
      <selection activeCell="F16" sqref="F16:G16"/>
      <pageMargins left="0.7" right="0.7" top="0.75" bottom="0.75" header="0.3" footer="0.3"/>
      <pageSetup orientation="portrait" r:id="rId61"/>
    </customSheetView>
    <customSheetView guid="{4F11E31F-E14C-416D-BB97-C8CE74658FBE}" scale="110" showGridLines="0" state="hidden">
      <selection activeCell="F16" sqref="F16:G16"/>
      <pageMargins left="0.7" right="0.7" top="0.75" bottom="0.75" header="0.3" footer="0.3"/>
      <pageSetup orientation="portrait" r:id="rId62"/>
    </customSheetView>
    <customSheetView guid="{F2A17A28-A3DF-492D-BAE9-AAEF2A13397B}" scale="110" showGridLines="0" state="hidden">
      <selection activeCell="F16" sqref="F16:G16"/>
      <pageMargins left="0.7" right="0.7" top="0.75" bottom="0.75" header="0.3" footer="0.3"/>
      <pageSetup orientation="portrait" r:id="rId63"/>
    </customSheetView>
    <customSheetView guid="{8F332A92-7271-4FEC-B085-C15AA232FE21}" scale="110" showGridLines="0" state="hidden">
      <selection activeCell="F16" sqref="F16:G16"/>
      <pageMargins left="0.7" right="0.7" top="0.75" bottom="0.75" header="0.3" footer="0.3"/>
      <pageSetup orientation="portrait" r:id="rId64"/>
    </customSheetView>
    <customSheetView guid="{6B1EB7F4-EF59-450E-A531-475C3A6E6150}" scale="110" showGridLines="0" state="hidden">
      <selection activeCell="F16" sqref="F16:G16"/>
      <pageMargins left="0.7" right="0.7" top="0.75" bottom="0.75" header="0.3" footer="0.3"/>
      <pageSetup orientation="portrait" r:id="rId65"/>
    </customSheetView>
    <customSheetView guid="{8EBF087E-11C5-42EE-B564-FAEE72C86C17}" scale="110" showGridLines="0" state="hidden">
      <selection activeCell="F16" sqref="F16:G16"/>
      <pageMargins left="0.7" right="0.7" top="0.75" bottom="0.75" header="0.3" footer="0.3"/>
      <pageSetup orientation="portrait" r:id="rId66"/>
    </customSheetView>
    <customSheetView guid="{F716839F-5448-40FC-95BC-286199FD6764}" scale="110" showGridLines="0" state="hidden">
      <selection activeCell="F16" sqref="F16:G16"/>
      <pageMargins left="0.7" right="0.7" top="0.75" bottom="0.75" header="0.3" footer="0.3"/>
      <pageSetup orientation="portrait" r:id="rId67"/>
    </customSheetView>
    <customSheetView guid="{E712F22D-DF79-4936-B86B-186E637372BF}" scale="110" showGridLines="0" state="hidden">
      <selection activeCell="F16" sqref="F16:G16"/>
      <pageMargins left="0.7" right="0.7" top="0.75" bottom="0.75" header="0.3" footer="0.3"/>
      <pageSetup orientation="portrait" r:id="rId68"/>
    </customSheetView>
    <customSheetView guid="{672B3D91-11D6-418C-A856-9FF74CE5E6FB}" scale="110" showGridLines="0" state="hidden">
      <selection activeCell="F16" sqref="F16:G16"/>
      <pageMargins left="0.7" right="0.7" top="0.75" bottom="0.75" header="0.3" footer="0.3"/>
      <pageSetup orientation="portrait" r:id="rId69"/>
    </customSheetView>
    <customSheetView guid="{5B4753E1-B7DC-40C2-A28F-B07A6CB075FE}" scale="110" showGridLines="0" state="hidden">
      <selection activeCell="F16" sqref="F16:G16"/>
      <pageMargins left="0.7" right="0.7" top="0.75" bottom="0.75" header="0.3" footer="0.3"/>
      <pageSetup orientation="portrait" r:id="rId70"/>
    </customSheetView>
    <customSheetView guid="{EF2006E2-DE9B-4938-AD6F-8255BE7D529F}" scale="110" showGridLines="0" state="hidden">
      <selection activeCell="F16" sqref="F16:G16"/>
      <pageMargins left="0.7" right="0.7" top="0.75" bottom="0.75" header="0.3" footer="0.3"/>
      <pageSetup orientation="portrait" r:id="rId71"/>
    </customSheetView>
    <customSheetView guid="{0BFB30CE-F6D9-44B3-99BA-62858BF46600}" scale="110" showGridLines="0" state="hidden">
      <selection activeCell="F16" sqref="F16:G16"/>
      <pageMargins left="0.7" right="0.7" top="0.75" bottom="0.75" header="0.3" footer="0.3"/>
      <pageSetup orientation="portrait" r:id="rId72"/>
    </customSheetView>
    <customSheetView guid="{E3977DAC-58A9-43A5-A2CD-037AE84A3934}" scale="110" showGridLines="0" state="hidden">
      <selection activeCell="F16" sqref="F16:G16"/>
      <pageMargins left="0.7" right="0.7" top="0.75" bottom="0.75" header="0.3" footer="0.3"/>
      <pageSetup orientation="portrait" r:id="rId73"/>
    </customSheetView>
    <customSheetView guid="{E18774DE-EF27-4708-91D7-FE2A7EE4C992}" scale="110" showGridLines="0" state="hidden">
      <selection activeCell="F16" sqref="F16:G16"/>
      <pageMargins left="0.7" right="0.7" top="0.75" bottom="0.75" header="0.3" footer="0.3"/>
      <pageSetup orientation="portrait" r:id="rId74"/>
    </customSheetView>
    <customSheetView guid="{F102CDDA-1DB7-4BD5-8A8F-CD5640485596}" scale="110" showGridLines="0" state="hidden">
      <selection activeCell="F16" sqref="F16:G16"/>
      <pageMargins left="0.7" right="0.7" top="0.75" bottom="0.75" header="0.3" footer="0.3"/>
      <pageSetup orientation="portrait" r:id="rId75"/>
    </customSheetView>
    <customSheetView guid="{A3C7F73E-8288-4122-801A-9A426BB0DFB8}" scale="110" showGridLines="0" state="hidden">
      <selection activeCell="F16" sqref="F16:G16"/>
      <pageMargins left="0.7" right="0.7" top="0.75" bottom="0.75" header="0.3" footer="0.3"/>
      <pageSetup orientation="portrait" r:id="rId76"/>
    </customSheetView>
    <customSheetView guid="{C1FEC2CE-0AE0-4F12-8438-BD3D230D3830}" scale="110" showGridLines="0" state="hidden">
      <selection activeCell="F16" sqref="F16:G16"/>
      <pageMargins left="0.7" right="0.7" top="0.75" bottom="0.75" header="0.3" footer="0.3"/>
      <pageSetup orientation="portrait" r:id="rId77"/>
    </customSheetView>
    <customSheetView guid="{576A445C-3D9A-438D-AC68-B679E3D65634}" scale="110" showGridLines="0" state="hidden">
      <selection activeCell="F16" sqref="F16:G16"/>
      <pageMargins left="0.7" right="0.7" top="0.75" bottom="0.75" header="0.3" footer="0.3"/>
      <pageSetup orientation="portrait" r:id="rId78"/>
    </customSheetView>
  </customSheetViews>
  <mergeCells count="6">
    <mergeCell ref="B5:D5"/>
    <mergeCell ref="F5:H5"/>
    <mergeCell ref="J5:L5"/>
    <mergeCell ref="B16:C16"/>
    <mergeCell ref="F16:G16"/>
    <mergeCell ref="J16:K16"/>
  </mergeCells>
  <conditionalFormatting sqref="D16">
    <cfRule type="expression" dxfId="5" priority="3">
      <formula>D$16=D$17</formula>
    </cfRule>
  </conditionalFormatting>
  <conditionalFormatting sqref="H16">
    <cfRule type="expression" dxfId="4" priority="2">
      <formula>H$16=H$17</formula>
    </cfRule>
  </conditionalFormatting>
  <conditionalFormatting sqref="L16">
    <cfRule type="expression" dxfId="3" priority="1">
      <formula>L$16=L$17</formula>
    </cfRule>
  </conditionalFormatting>
  <pageMargins left="0.7" right="0.7" top="0.75" bottom="0.75" header="0.3" footer="0.3"/>
  <pageSetup orientation="portrait" r:id="rId79"/>
  <ignoredErrors>
    <ignoredError sqref="L17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6:G47"/>
  <sheetViews>
    <sheetView showGridLines="0" zoomScale="130" zoomScaleNormal="120" workbookViewId="0">
      <selection activeCell="E7" sqref="E7"/>
    </sheetView>
  </sheetViews>
  <sheetFormatPr defaultRowHeight="15" x14ac:dyDescent="0.25"/>
  <cols>
    <col min="2" max="2" width="17.140625" bestFit="1" customWidth="1"/>
    <col min="3" max="3" width="16.28515625" bestFit="1" customWidth="1"/>
    <col min="4" max="4" width="20.85546875" bestFit="1" customWidth="1"/>
    <col min="5" max="5" width="24.140625" bestFit="1" customWidth="1"/>
    <col min="6" max="6" width="13.5703125" bestFit="1" customWidth="1"/>
  </cols>
  <sheetData>
    <row r="6" spans="2:6" ht="23.25" x14ac:dyDescent="0.35">
      <c r="B6" s="3" t="s">
        <v>74</v>
      </c>
      <c r="C6" s="3" t="s">
        <v>75</v>
      </c>
      <c r="D6" s="3" t="s">
        <v>76</v>
      </c>
      <c r="E6" s="4" t="s">
        <v>77</v>
      </c>
    </row>
    <row r="7" spans="2:6" ht="21" x14ac:dyDescent="0.25">
      <c r="B7" s="2" t="s">
        <v>81</v>
      </c>
      <c r="C7" s="2" t="s">
        <v>79</v>
      </c>
      <c r="D7" s="2" t="s">
        <v>83</v>
      </c>
      <c r="E7" s="17"/>
      <c r="F7" s="1" t="str">
        <f>IF(B7="Bad","Would Not Go","Will Go")</f>
        <v>Will Go</v>
      </c>
    </row>
    <row r="8" spans="2:6" ht="21" x14ac:dyDescent="0.25">
      <c r="B8" s="2" t="s">
        <v>79</v>
      </c>
      <c r="C8" s="2" t="s">
        <v>81</v>
      </c>
      <c r="D8" s="2" t="s">
        <v>83</v>
      </c>
      <c r="E8" s="17"/>
      <c r="F8" s="1" t="str">
        <f t="shared" ref="F8:F12" si="0">IF(B8="Bad","Would Not Go","Will Go")</f>
        <v>Will Go</v>
      </c>
    </row>
    <row r="9" spans="2:6" ht="21" x14ac:dyDescent="0.25">
      <c r="B9" s="2" t="s">
        <v>80</v>
      </c>
      <c r="C9" s="2" t="s">
        <v>81</v>
      </c>
      <c r="D9" s="2" t="s">
        <v>84</v>
      </c>
      <c r="E9" s="17"/>
      <c r="F9" s="1" t="str">
        <f t="shared" si="0"/>
        <v>Would Not Go</v>
      </c>
    </row>
    <row r="10" spans="2:6" ht="21" x14ac:dyDescent="0.25">
      <c r="B10" s="2" t="s">
        <v>81</v>
      </c>
      <c r="C10" s="2" t="s">
        <v>81</v>
      </c>
      <c r="D10" s="2" t="s">
        <v>83</v>
      </c>
      <c r="E10" s="17"/>
      <c r="F10" s="1" t="str">
        <f t="shared" si="0"/>
        <v>Will Go</v>
      </c>
    </row>
    <row r="11" spans="2:6" ht="21" x14ac:dyDescent="0.25">
      <c r="B11" s="2" t="s">
        <v>81</v>
      </c>
      <c r="C11" s="2" t="s">
        <v>82</v>
      </c>
      <c r="D11" s="2" t="s">
        <v>84</v>
      </c>
      <c r="E11" s="17"/>
      <c r="F11" s="1" t="str">
        <f t="shared" si="0"/>
        <v>Will Go</v>
      </c>
    </row>
    <row r="12" spans="2:6" ht="21" x14ac:dyDescent="0.25">
      <c r="B12" s="2" t="s">
        <v>78</v>
      </c>
      <c r="C12" s="2" t="s">
        <v>82</v>
      </c>
      <c r="D12" s="2" t="s">
        <v>83</v>
      </c>
      <c r="E12" s="17"/>
      <c r="F12" s="1" t="str">
        <f t="shared" si="0"/>
        <v>Will Go</v>
      </c>
    </row>
    <row r="24" spans="2:6" ht="23.25" x14ac:dyDescent="0.35">
      <c r="B24" s="3" t="s">
        <v>74</v>
      </c>
      <c r="C24" s="3" t="s">
        <v>75</v>
      </c>
      <c r="D24" s="3" t="s">
        <v>76</v>
      </c>
      <c r="E24" s="4" t="s">
        <v>77</v>
      </c>
    </row>
    <row r="25" spans="2:6" ht="21" x14ac:dyDescent="0.25">
      <c r="B25" s="2" t="s">
        <v>81</v>
      </c>
      <c r="C25" s="2" t="s">
        <v>79</v>
      </c>
      <c r="D25" s="2" t="s">
        <v>83</v>
      </c>
      <c r="E25" s="14"/>
      <c r="F25" s="1" t="str">
        <f>IF(C25="Okayish","Will Not Go","Will Go")</f>
        <v>Will Not Go</v>
      </c>
    </row>
    <row r="26" spans="2:6" ht="21" x14ac:dyDescent="0.25">
      <c r="B26" s="2" t="s">
        <v>79</v>
      </c>
      <c r="C26" s="2" t="s">
        <v>81</v>
      </c>
      <c r="D26" s="2" t="s">
        <v>83</v>
      </c>
      <c r="E26" s="14"/>
      <c r="F26" s="1" t="str">
        <f t="shared" ref="F26:F30" si="1">IF(C26="Okayish","Will Not Go","Will Go")</f>
        <v>Will Go</v>
      </c>
    </row>
    <row r="27" spans="2:6" ht="21" x14ac:dyDescent="0.25">
      <c r="B27" s="2" t="s">
        <v>80</v>
      </c>
      <c r="C27" s="2" t="s">
        <v>81</v>
      </c>
      <c r="D27" s="2" t="s">
        <v>84</v>
      </c>
      <c r="E27" s="14"/>
      <c r="F27" s="1" t="str">
        <f t="shared" si="1"/>
        <v>Will Go</v>
      </c>
    </row>
    <row r="28" spans="2:6" ht="21" x14ac:dyDescent="0.25">
      <c r="B28" s="2" t="s">
        <v>81</v>
      </c>
      <c r="C28" s="2" t="s">
        <v>81</v>
      </c>
      <c r="D28" s="2" t="s">
        <v>83</v>
      </c>
      <c r="E28" s="14"/>
      <c r="F28" s="1" t="str">
        <f t="shared" si="1"/>
        <v>Will Go</v>
      </c>
    </row>
    <row r="29" spans="2:6" ht="21" x14ac:dyDescent="0.25">
      <c r="B29" s="2" t="s">
        <v>81</v>
      </c>
      <c r="C29" s="2" t="s">
        <v>82</v>
      </c>
      <c r="D29" s="2" t="s">
        <v>84</v>
      </c>
      <c r="E29" s="14"/>
      <c r="F29" s="1" t="str">
        <f t="shared" si="1"/>
        <v>Will Go</v>
      </c>
    </row>
    <row r="30" spans="2:6" ht="21" x14ac:dyDescent="0.25">
      <c r="B30" s="2" t="s">
        <v>78</v>
      </c>
      <c r="C30" s="2" t="s">
        <v>82</v>
      </c>
      <c r="D30" s="2" t="s">
        <v>83</v>
      </c>
      <c r="E30" s="14"/>
      <c r="F30" s="1" t="str">
        <f t="shared" si="1"/>
        <v>Will Go</v>
      </c>
    </row>
    <row r="41" spans="2:7" ht="23.25" x14ac:dyDescent="0.35">
      <c r="B41" s="16" t="s">
        <v>17</v>
      </c>
      <c r="C41" s="16" t="s">
        <v>16</v>
      </c>
      <c r="D41" s="16" t="s">
        <v>15</v>
      </c>
      <c r="E41" s="16" t="s">
        <v>14</v>
      </c>
      <c r="F41" s="4" t="s">
        <v>18</v>
      </c>
    </row>
    <row r="42" spans="2:7" ht="21" x14ac:dyDescent="0.25">
      <c r="B42" s="2" t="s">
        <v>13</v>
      </c>
      <c r="C42" s="2">
        <v>6</v>
      </c>
      <c r="D42" s="2" t="s">
        <v>12</v>
      </c>
      <c r="E42" s="2" t="s">
        <v>5</v>
      </c>
      <c r="F42" s="14"/>
      <c r="G42" s="1" t="str">
        <f>_xlfn.IFS(B42&gt;=6,"Yes, it is over 6")</f>
        <v>Yes, it is over 6</v>
      </c>
    </row>
    <row r="43" spans="2:7" ht="21" x14ac:dyDescent="0.25">
      <c r="B43" s="2" t="s">
        <v>11</v>
      </c>
      <c r="C43" s="2">
        <v>3.25</v>
      </c>
      <c r="D43" s="2" t="s">
        <v>10</v>
      </c>
      <c r="E43" s="2" t="s">
        <v>0</v>
      </c>
      <c r="F43" s="14"/>
      <c r="G43" s="1" t="str">
        <f t="shared" ref="G43:G47" si="2">_xlfn.IFS(B43&gt;=6,"Yes, it is over 6")</f>
        <v>Yes, it is over 6</v>
      </c>
    </row>
    <row r="44" spans="2:7" ht="21" x14ac:dyDescent="0.25">
      <c r="B44" s="2" t="s">
        <v>9</v>
      </c>
      <c r="C44" s="2">
        <v>12.5</v>
      </c>
      <c r="D44" s="2" t="s">
        <v>8</v>
      </c>
      <c r="E44" s="2" t="s">
        <v>5</v>
      </c>
      <c r="F44" s="14"/>
      <c r="G44" s="1" t="str">
        <f t="shared" si="2"/>
        <v>Yes, it is over 6</v>
      </c>
    </row>
    <row r="45" spans="2:7" ht="21" x14ac:dyDescent="0.25">
      <c r="B45" s="2" t="s">
        <v>7</v>
      </c>
      <c r="C45" s="2">
        <v>6.35</v>
      </c>
      <c r="D45" s="2" t="s">
        <v>6</v>
      </c>
      <c r="E45" s="2" t="s">
        <v>5</v>
      </c>
      <c r="F45" s="14"/>
      <c r="G45" s="1" t="str">
        <f t="shared" si="2"/>
        <v>Yes, it is over 6</v>
      </c>
    </row>
    <row r="46" spans="2:7" ht="21" x14ac:dyDescent="0.25">
      <c r="B46" s="2" t="s">
        <v>4</v>
      </c>
      <c r="C46" s="2">
        <v>2.5</v>
      </c>
      <c r="D46" s="2" t="s">
        <v>3</v>
      </c>
      <c r="E46" s="2" t="s">
        <v>0</v>
      </c>
      <c r="F46" s="14"/>
      <c r="G46" s="1" t="str">
        <f t="shared" si="2"/>
        <v>Yes, it is over 6</v>
      </c>
    </row>
    <row r="47" spans="2:7" ht="21" x14ac:dyDescent="0.25">
      <c r="B47" s="2" t="s">
        <v>2</v>
      </c>
      <c r="C47" s="2">
        <v>6.5</v>
      </c>
      <c r="D47" s="2" t="s">
        <v>1</v>
      </c>
      <c r="E47" s="2" t="s">
        <v>0</v>
      </c>
      <c r="F47" s="14"/>
      <c r="G47" s="1" t="str">
        <f t="shared" si="2"/>
        <v>Yes, it is over 6</v>
      </c>
    </row>
  </sheetData>
  <customSheetViews>
    <customSheetView guid="{4725FB26-BADE-478E-8CB6-C0172942A9EE}" scale="130" showGridLines="0">
      <selection activeCell="E7" sqref="E7"/>
      <pageMargins left="0.7" right="0.7" top="0.75" bottom="0.75" header="0.3" footer="0.3"/>
      <pageSetup orientation="portrait" r:id="rId1"/>
    </customSheetView>
    <customSheetView guid="{5B82F60B-B869-45D3-9A7D-2B843E789197}" scale="130" showGridLines="0">
      <selection activeCell="E7" sqref="E7"/>
      <pageMargins left="0.7" right="0.7" top="0.75" bottom="0.75" header="0.3" footer="0.3"/>
      <pageSetup orientation="portrait" r:id="rId2"/>
    </customSheetView>
    <customSheetView guid="{73745901-4C3A-49DD-83C4-0AEBB167DB63}" scale="130" showGridLines="0">
      <selection activeCell="E7" sqref="E7"/>
      <pageMargins left="0.7" right="0.7" top="0.75" bottom="0.75" header="0.3" footer="0.3"/>
      <pageSetup orientation="portrait" r:id="rId3"/>
    </customSheetView>
    <customSheetView guid="{AE37E6D9-7485-4A75-9115-FDBD1A6E08D0}" scale="130" showGridLines="0">
      <selection activeCell="E7" sqref="E7"/>
      <pageMargins left="0.7" right="0.7" top="0.75" bottom="0.75" header="0.3" footer="0.3"/>
      <pageSetup orientation="portrait" r:id="rId4"/>
    </customSheetView>
    <customSheetView guid="{28C5C254-2672-4A7F-9398-2FA6F99EE3FF}" scale="130" showGridLines="0">
      <selection activeCell="E7" sqref="E7"/>
      <pageMargins left="0.7" right="0.7" top="0.75" bottom="0.75" header="0.3" footer="0.3"/>
      <pageSetup orientation="portrait" r:id="rId5"/>
    </customSheetView>
    <customSheetView guid="{9967D63C-4135-4BF7-A83B-0EC0A28A8504}" scale="130" showGridLines="0">
      <selection activeCell="E7" sqref="E7"/>
      <pageMargins left="0.7" right="0.7" top="0.75" bottom="0.75" header="0.3" footer="0.3"/>
      <pageSetup orientation="portrait" r:id="rId6"/>
    </customSheetView>
    <customSheetView guid="{8DC39A41-9961-4A5C-8659-B8A82A01A470}" scale="130" showGridLines="0">
      <selection activeCell="E7" sqref="E7"/>
      <pageMargins left="0.7" right="0.7" top="0.75" bottom="0.75" header="0.3" footer="0.3"/>
      <pageSetup orientation="portrait" r:id="rId7"/>
    </customSheetView>
    <customSheetView guid="{06F040C9-291C-44DD-A11A-B2BAF2078CA1}" scale="130" showGridLines="0">
      <selection activeCell="E7" sqref="E7"/>
      <pageMargins left="0.7" right="0.7" top="0.75" bottom="0.75" header="0.3" footer="0.3"/>
      <pageSetup orientation="portrait" r:id="rId8"/>
    </customSheetView>
    <customSheetView guid="{AC1AC0BB-7D81-4427-80BF-DB36D3CC12C1}" scale="130" showGridLines="0">
      <selection activeCell="E7" sqref="E7"/>
      <pageMargins left="0.7" right="0.7" top="0.75" bottom="0.75" header="0.3" footer="0.3"/>
      <pageSetup orientation="portrait" r:id="rId9"/>
    </customSheetView>
    <customSheetView guid="{31F90F3E-FB31-437F-ADCE-44D58804C41D}" scale="130" showGridLines="0">
      <selection activeCell="E7" sqref="E7"/>
      <pageMargins left="0.7" right="0.7" top="0.75" bottom="0.75" header="0.3" footer="0.3"/>
      <pageSetup orientation="portrait" r:id="rId10"/>
    </customSheetView>
    <customSheetView guid="{57F7A421-8FD3-4470-813D-526D207C0AED}" scale="130" showGridLines="0">
      <selection activeCell="E7" sqref="E7"/>
      <pageMargins left="0.7" right="0.7" top="0.75" bottom="0.75" header="0.3" footer="0.3"/>
      <pageSetup orientation="portrait" r:id="rId11"/>
    </customSheetView>
    <customSheetView guid="{E065FC95-9F37-4AD0-A6AF-202A080459EB}" scale="130" showGridLines="0">
      <selection activeCell="E7" sqref="E7"/>
      <pageMargins left="0.7" right="0.7" top="0.75" bottom="0.75" header="0.3" footer="0.3"/>
      <pageSetup orientation="portrait" r:id="rId12"/>
    </customSheetView>
    <customSheetView guid="{A979108F-FF23-4967-8663-1A0C9618D854}" scale="130" showGridLines="0">
      <selection activeCell="E5" sqref="E5"/>
      <pageMargins left="0.7" right="0.7" top="0.75" bottom="0.75" header="0.3" footer="0.3"/>
      <pageSetup orientation="portrait" r:id="rId13"/>
    </customSheetView>
    <customSheetView guid="{AD9596A8-734D-48AD-8922-A58933E39AB8}" scale="130" showGridLines="0">
      <selection activeCell="E5" sqref="E5"/>
      <pageMargins left="0.7" right="0.7" top="0.75" bottom="0.75" header="0.3" footer="0.3"/>
      <pageSetup orientation="portrait" r:id="rId14"/>
    </customSheetView>
    <customSheetView guid="{DFB07116-697D-42FF-ACBD-E8FE92938B16}" scale="130" showGridLines="0">
      <selection activeCell="E5" sqref="E5"/>
      <pageMargins left="0.7" right="0.7" top="0.75" bottom="0.75" header="0.3" footer="0.3"/>
      <pageSetup orientation="portrait" r:id="rId15"/>
    </customSheetView>
    <customSheetView guid="{2032DE14-E33D-44B5-9022-A2B48F059704}" scale="130" showGridLines="0" state="hidden">
      <selection activeCell="E5" sqref="E5"/>
      <pageMargins left="0.7" right="0.7" top="0.75" bottom="0.75" header="0.3" footer="0.3"/>
      <pageSetup orientation="portrait" r:id="rId16"/>
    </customSheetView>
    <customSheetView guid="{EE4A95A5-BF42-4BAA-B9EB-84A9230A28F9}" scale="130" showGridLines="0" state="hidden">
      <selection activeCell="E5" sqref="E5"/>
      <pageMargins left="0.7" right="0.7" top="0.75" bottom="0.75" header="0.3" footer="0.3"/>
      <pageSetup orientation="portrait" r:id="rId17"/>
    </customSheetView>
    <customSheetView guid="{8BEA0E04-8B9A-4A2D-9B80-4E7685E22D5E}" scale="130" showGridLines="0" state="hidden">
      <selection activeCell="E5" sqref="E5"/>
      <pageMargins left="0.7" right="0.7" top="0.75" bottom="0.75" header="0.3" footer="0.3"/>
      <pageSetup orientation="portrait" r:id="rId18"/>
    </customSheetView>
    <customSheetView guid="{0125BE01-BBC8-4E5A-9A9A-3D1257916B8C}" scale="130" showGridLines="0" state="hidden">
      <selection activeCell="E5" sqref="E5"/>
      <pageMargins left="0.7" right="0.7" top="0.75" bottom="0.75" header="0.3" footer="0.3"/>
      <pageSetup orientation="portrait" r:id="rId19"/>
    </customSheetView>
    <customSheetView guid="{7A9AB605-DB82-470C-B86B-95E2AB3523F6}" scale="130" showGridLines="0" state="hidden">
      <selection activeCell="E5" sqref="E5"/>
      <pageMargins left="0.7" right="0.7" top="0.75" bottom="0.75" header="0.3" footer="0.3"/>
      <pageSetup orientation="portrait" r:id="rId20"/>
    </customSheetView>
    <customSheetView guid="{FC8D231F-57F9-45EE-9DEF-D7ED111600EB}" scale="130" showGridLines="0" state="hidden">
      <selection activeCell="E5" sqref="E5"/>
      <pageMargins left="0.7" right="0.7" top="0.75" bottom="0.75" header="0.3" footer="0.3"/>
      <pageSetup orientation="portrait" r:id="rId21"/>
    </customSheetView>
    <customSheetView guid="{395DC3D6-3299-4A43-88E2-62703FCC0349}" scale="130" showGridLines="0" state="hidden">
      <selection activeCell="E5" sqref="E5"/>
      <pageMargins left="0.7" right="0.7" top="0.75" bottom="0.75" header="0.3" footer="0.3"/>
      <pageSetup orientation="portrait" r:id="rId22"/>
    </customSheetView>
    <customSheetView guid="{5C8F4C13-387F-42D2-8CB5-92C4886D7919}" scale="130" showGridLines="0" state="hidden">
      <selection activeCell="E5" sqref="E5"/>
      <pageMargins left="0.7" right="0.7" top="0.75" bottom="0.75" header="0.3" footer="0.3"/>
      <pageSetup orientation="portrait" r:id="rId23"/>
    </customSheetView>
    <customSheetView guid="{8A25BF65-C908-4B2F-9805-3CD39BD4330E}" scale="130" showGridLines="0" state="hidden">
      <selection activeCell="E5" sqref="E5"/>
      <pageMargins left="0.7" right="0.7" top="0.75" bottom="0.75" header="0.3" footer="0.3"/>
      <pageSetup orientation="portrait" r:id="rId24"/>
    </customSheetView>
    <customSheetView guid="{F9A03991-7A83-41AE-B603-3D22265CDA22}" scale="130" showGridLines="0" state="hidden">
      <selection activeCell="E5" sqref="E5"/>
      <pageMargins left="0.7" right="0.7" top="0.75" bottom="0.75" header="0.3" footer="0.3"/>
      <pageSetup orientation="portrait" r:id="rId25"/>
    </customSheetView>
    <customSheetView guid="{FEB5A49F-F7F7-412A-BE72-F90F7A4799C8}" scale="130" showGridLines="0" state="hidden">
      <selection activeCell="E5" sqref="E5"/>
      <pageMargins left="0.7" right="0.7" top="0.75" bottom="0.75" header="0.3" footer="0.3"/>
      <pageSetup orientation="portrait" r:id="rId26"/>
    </customSheetView>
    <customSheetView guid="{F518ECB9-5D92-41E0-BFD2-C5175A02444D}" scale="130" showGridLines="0" state="hidden">
      <selection activeCell="E5" sqref="E5"/>
      <pageMargins left="0.7" right="0.7" top="0.75" bottom="0.75" header="0.3" footer="0.3"/>
      <pageSetup orientation="portrait" r:id="rId27"/>
    </customSheetView>
    <customSheetView guid="{BCAB4838-A37A-4BCF-A9C9-CC50C95F58C7}" scale="130" showGridLines="0" state="hidden">
      <selection activeCell="E5" sqref="E5"/>
      <pageMargins left="0.7" right="0.7" top="0.75" bottom="0.75" header="0.3" footer="0.3"/>
      <pageSetup orientation="portrait" r:id="rId28"/>
    </customSheetView>
    <customSheetView guid="{C4FE72FA-CBE8-407E-8EC2-C280F8FC5007}" scale="130" showGridLines="0" state="hidden">
      <selection activeCell="E5" sqref="E5"/>
      <pageMargins left="0.7" right="0.7" top="0.75" bottom="0.75" header="0.3" footer="0.3"/>
      <pageSetup orientation="portrait" r:id="rId29"/>
    </customSheetView>
    <customSheetView guid="{38FB2C7A-5CFF-4CFC-8EEB-670D05614592}" scale="130" showGridLines="0" state="hidden">
      <selection activeCell="E5" sqref="E5"/>
      <pageMargins left="0.7" right="0.7" top="0.75" bottom="0.75" header="0.3" footer="0.3"/>
      <pageSetup orientation="portrait" r:id="rId30"/>
    </customSheetView>
    <customSheetView guid="{40292D04-273C-4BA2-8BEC-F145CB80DE09}" scale="130" showGridLines="0" state="hidden">
      <selection activeCell="E5" sqref="E5"/>
      <pageMargins left="0.7" right="0.7" top="0.75" bottom="0.75" header="0.3" footer="0.3"/>
      <pageSetup orientation="portrait" r:id="rId31"/>
    </customSheetView>
    <customSheetView guid="{3803F984-A279-41F1-A517-160B18D90A7B}" scale="130" showGridLines="0" state="hidden">
      <selection activeCell="E5" sqref="E5"/>
      <pageMargins left="0.7" right="0.7" top="0.75" bottom="0.75" header="0.3" footer="0.3"/>
      <pageSetup orientation="portrait" r:id="rId32"/>
    </customSheetView>
    <customSheetView guid="{66733AAA-1B52-4C53-8317-97DE8A748E25}" scale="130" showGridLines="0" state="hidden">
      <selection activeCell="E5" sqref="E5"/>
      <pageMargins left="0.7" right="0.7" top="0.75" bottom="0.75" header="0.3" footer="0.3"/>
      <pageSetup orientation="portrait" r:id="rId33"/>
    </customSheetView>
    <customSheetView guid="{7FCE83C1-0279-4E15-8ADF-7AE60DC9131C}" scale="130" showGridLines="0" state="hidden">
      <selection activeCell="E5" sqref="E5"/>
      <pageMargins left="0.7" right="0.7" top="0.75" bottom="0.75" header="0.3" footer="0.3"/>
      <pageSetup orientation="portrait" r:id="rId34"/>
    </customSheetView>
    <customSheetView guid="{F92D650A-7143-46D6-8CDA-595FA977193F}" scale="130" showGridLines="0" state="hidden">
      <selection activeCell="E5" sqref="E5"/>
      <pageMargins left="0.7" right="0.7" top="0.75" bottom="0.75" header="0.3" footer="0.3"/>
      <pageSetup orientation="portrait" r:id="rId35"/>
    </customSheetView>
    <customSheetView guid="{C2D3B09E-3326-4084-AD7A-C8013F4130D6}" scale="130" showGridLines="0" state="hidden">
      <selection activeCell="E5" sqref="E5"/>
      <pageMargins left="0.7" right="0.7" top="0.75" bottom="0.75" header="0.3" footer="0.3"/>
      <pageSetup orientation="portrait" r:id="rId36"/>
    </customSheetView>
    <customSheetView guid="{E1A67331-473F-4161-806C-BE35870C93B5}" scale="130" showGridLines="0" state="hidden">
      <selection activeCell="E5" sqref="E5"/>
      <pageMargins left="0.7" right="0.7" top="0.75" bottom="0.75" header="0.3" footer="0.3"/>
      <pageSetup orientation="portrait" r:id="rId37"/>
    </customSheetView>
    <customSheetView guid="{CC562453-1E6B-4010-9E1B-775397A26EFA}" scale="130" showGridLines="0" state="hidden">
      <selection activeCell="E5" sqref="E5"/>
      <pageMargins left="0.7" right="0.7" top="0.75" bottom="0.75" header="0.3" footer="0.3"/>
      <pageSetup orientation="portrait" r:id="rId38"/>
    </customSheetView>
    <customSheetView guid="{644A6A80-0D34-48F6-A071-17016DCD2D6E}" scale="130" showGridLines="0" state="hidden">
      <selection activeCell="E5" sqref="E5"/>
      <pageMargins left="0.7" right="0.7" top="0.75" bottom="0.75" header="0.3" footer="0.3"/>
      <pageSetup orientation="portrait" r:id="rId39"/>
    </customSheetView>
    <customSheetView guid="{C65059E8-30E8-488B-A0E9-1B7961920C81}" scale="130" showGridLines="0" state="hidden">
      <selection activeCell="E5" sqref="E5"/>
      <pageMargins left="0.7" right="0.7" top="0.75" bottom="0.75" header="0.3" footer="0.3"/>
      <pageSetup orientation="portrait" r:id="rId40"/>
    </customSheetView>
    <customSheetView guid="{95D39BA8-2B16-4954-ABAC-09AD33A86339}" scale="130" showGridLines="0" state="hidden">
      <selection activeCell="E5" sqref="E5"/>
      <pageMargins left="0.7" right="0.7" top="0.75" bottom="0.75" header="0.3" footer="0.3"/>
      <pageSetup orientation="portrait" r:id="rId41"/>
    </customSheetView>
    <customSheetView guid="{25A4A7C0-9593-456C-861C-76D101D3FE93}" scale="130" showGridLines="0" state="hidden">
      <selection activeCell="E5" sqref="E5"/>
      <pageMargins left="0.7" right="0.7" top="0.75" bottom="0.75" header="0.3" footer="0.3"/>
      <pageSetup orientation="portrait" r:id="rId42"/>
    </customSheetView>
    <customSheetView guid="{51BA8A3D-4711-49ED-89E2-EBC09DF2AEDC}" scale="130" showGridLines="0" state="hidden">
      <selection activeCell="E5" sqref="E5"/>
      <pageMargins left="0.7" right="0.7" top="0.75" bottom="0.75" header="0.3" footer="0.3"/>
      <pageSetup orientation="portrait" r:id="rId43"/>
    </customSheetView>
    <customSheetView guid="{629A478C-29B1-4F25-A016-63CE32A1627F}" scale="130" showGridLines="0" state="hidden">
      <selection activeCell="E5" sqref="E5"/>
      <pageMargins left="0.7" right="0.7" top="0.75" bottom="0.75" header="0.3" footer="0.3"/>
      <pageSetup orientation="portrait" r:id="rId44"/>
    </customSheetView>
    <customSheetView guid="{F789A6E6-3D06-4D93-BF02-46FA1A2548B2}" scale="130" showGridLines="0" state="hidden">
      <selection activeCell="E5" sqref="E5"/>
      <pageMargins left="0.7" right="0.7" top="0.75" bottom="0.75" header="0.3" footer="0.3"/>
      <pageSetup orientation="portrait" r:id="rId45"/>
    </customSheetView>
    <customSheetView guid="{15D7A002-B247-4A6B-A16B-61BDD9B0066A}" scale="130" showGridLines="0" state="hidden">
      <selection activeCell="E5" sqref="E5"/>
      <pageMargins left="0.7" right="0.7" top="0.75" bottom="0.75" header="0.3" footer="0.3"/>
      <pageSetup orientation="portrait" r:id="rId46"/>
    </customSheetView>
    <customSheetView guid="{9AFCAA87-4888-4976-A7C9-C06A34CB6C97}" scale="130" showGridLines="0" state="hidden">
      <selection activeCell="E5" sqref="E5"/>
      <pageMargins left="0.7" right="0.7" top="0.75" bottom="0.75" header="0.3" footer="0.3"/>
      <pageSetup orientation="portrait" r:id="rId47"/>
    </customSheetView>
    <customSheetView guid="{E4FF7DB9-14DF-49DB-9F59-1898DDED4DCE}" scale="130" showGridLines="0" state="hidden">
      <selection activeCell="E5" sqref="E5"/>
      <pageMargins left="0.7" right="0.7" top="0.75" bottom="0.75" header="0.3" footer="0.3"/>
      <pageSetup orientation="portrait" r:id="rId48"/>
    </customSheetView>
    <customSheetView guid="{EC7537C6-1678-41C1-B788-EF4AFFECF769}" scale="130" showGridLines="0" state="hidden">
      <selection activeCell="E5" sqref="E5"/>
      <pageMargins left="0.7" right="0.7" top="0.75" bottom="0.75" header="0.3" footer="0.3"/>
      <pageSetup orientation="portrait" r:id="rId49"/>
    </customSheetView>
    <customSheetView guid="{1920E7A3-1C9F-4320-81BB-D11544051025}" scale="130" showGridLines="0" state="hidden">
      <selection activeCell="E5" sqref="E5"/>
      <pageMargins left="0.7" right="0.7" top="0.75" bottom="0.75" header="0.3" footer="0.3"/>
      <pageSetup orientation="portrait" r:id="rId50"/>
    </customSheetView>
    <customSheetView guid="{02D27969-4CD1-473E-A0E8-856AB0664DE8}" scale="130" showGridLines="0" state="hidden">
      <selection activeCell="E5" sqref="E5"/>
      <pageMargins left="0.7" right="0.7" top="0.75" bottom="0.75" header="0.3" footer="0.3"/>
      <pageSetup orientation="portrait" r:id="rId51"/>
    </customSheetView>
    <customSheetView guid="{422703F6-63C4-435C-AFE7-1030286678F6}" scale="130" showGridLines="0" state="hidden">
      <selection activeCell="E5" sqref="E5"/>
      <pageMargins left="0.7" right="0.7" top="0.75" bottom="0.75" header="0.3" footer="0.3"/>
      <pageSetup orientation="portrait" r:id="rId52"/>
    </customSheetView>
    <customSheetView guid="{F3CB97AD-592C-4B6E-8AE3-1CD47479060C}" scale="130" showGridLines="0" state="hidden">
      <selection activeCell="E5" sqref="E5"/>
      <pageMargins left="0.7" right="0.7" top="0.75" bottom="0.75" header="0.3" footer="0.3"/>
      <pageSetup orientation="portrait" r:id="rId53"/>
    </customSheetView>
    <customSheetView guid="{19DA6E7F-8950-4769-9BBE-2798EFA465A3}" scale="130" showGridLines="0" state="hidden">
      <selection activeCell="E5" sqref="E5"/>
      <pageMargins left="0.7" right="0.7" top="0.75" bottom="0.75" header="0.3" footer="0.3"/>
      <pageSetup orientation="portrait" r:id="rId54"/>
    </customSheetView>
    <customSheetView guid="{47C01131-7443-4080-A2BB-6B6AA35C6913}" scale="130" showGridLines="0" state="hidden">
      <selection activeCell="E5" sqref="E5"/>
      <pageMargins left="0.7" right="0.7" top="0.75" bottom="0.75" header="0.3" footer="0.3"/>
      <pageSetup orientation="portrait" r:id="rId55"/>
    </customSheetView>
    <customSheetView guid="{C7330417-67A9-44CF-917F-5F5E2F191AD4}" scale="130" showGridLines="0" state="hidden">
      <selection activeCell="E5" sqref="E5"/>
      <pageMargins left="0.7" right="0.7" top="0.75" bottom="0.75" header="0.3" footer="0.3"/>
      <pageSetup orientation="portrait" r:id="rId56"/>
    </customSheetView>
    <customSheetView guid="{EBA5E9C4-A2DB-4DF0-BF75-1243E968318E}" scale="130" showGridLines="0" state="hidden">
      <selection activeCell="E5" sqref="E5"/>
      <pageMargins left="0.7" right="0.7" top="0.75" bottom="0.75" header="0.3" footer="0.3"/>
      <pageSetup orientation="portrait" r:id="rId57"/>
    </customSheetView>
    <customSheetView guid="{7A7FC9A5-F2B5-4894-82BC-4528575F10D4}" scale="130" showGridLines="0" state="hidden">
      <selection activeCell="E5" sqref="E5"/>
      <pageMargins left="0.7" right="0.7" top="0.75" bottom="0.75" header="0.3" footer="0.3"/>
      <pageSetup orientation="portrait" r:id="rId58"/>
    </customSheetView>
    <customSheetView guid="{6194C141-D0A1-4D58-BA55-90A184525AC3}" scale="130" showGridLines="0" state="hidden">
      <selection activeCell="E5" sqref="E5"/>
      <pageMargins left="0.7" right="0.7" top="0.75" bottom="0.75" header="0.3" footer="0.3"/>
      <pageSetup orientation="portrait" r:id="rId59"/>
    </customSheetView>
    <customSheetView guid="{A5292A6B-6F92-4AB3-B051-EF87F39FC489}" scale="130" showGridLines="0" state="hidden">
      <selection activeCell="E5" sqref="E5"/>
      <pageMargins left="0.7" right="0.7" top="0.75" bottom="0.75" header="0.3" footer="0.3"/>
      <pageSetup orientation="portrait" r:id="rId60"/>
    </customSheetView>
    <customSheetView guid="{C090DFAD-A23A-4678-87F2-095D84EBDDE8}" scale="130" showGridLines="0" state="hidden">
      <selection activeCell="E5" sqref="E5"/>
      <pageMargins left="0.7" right="0.7" top="0.75" bottom="0.75" header="0.3" footer="0.3"/>
      <pageSetup orientation="portrait" r:id="rId61"/>
    </customSheetView>
    <customSheetView guid="{4F11E31F-E14C-416D-BB97-C8CE74658FBE}" scale="130" showGridLines="0" state="hidden">
      <selection activeCell="E5" sqref="E5"/>
      <pageMargins left="0.7" right="0.7" top="0.75" bottom="0.75" header="0.3" footer="0.3"/>
      <pageSetup orientation="portrait" r:id="rId62"/>
    </customSheetView>
    <customSheetView guid="{F2A17A28-A3DF-492D-BAE9-AAEF2A13397B}" scale="130" showGridLines="0" state="hidden">
      <selection activeCell="E5" sqref="E5"/>
      <pageMargins left="0.7" right="0.7" top="0.75" bottom="0.75" header="0.3" footer="0.3"/>
      <pageSetup orientation="portrait" r:id="rId63"/>
    </customSheetView>
    <customSheetView guid="{8F332A92-7271-4FEC-B085-C15AA232FE21}" scale="130" showGridLines="0" state="hidden">
      <selection activeCell="E5" sqref="E5"/>
      <pageMargins left="0.7" right="0.7" top="0.75" bottom="0.75" header="0.3" footer="0.3"/>
      <pageSetup orientation="portrait" r:id="rId64"/>
    </customSheetView>
    <customSheetView guid="{6B1EB7F4-EF59-450E-A531-475C3A6E6150}" scale="130" showGridLines="0" state="hidden">
      <selection activeCell="E5" sqref="E5"/>
      <pageMargins left="0.7" right="0.7" top="0.75" bottom="0.75" header="0.3" footer="0.3"/>
      <pageSetup orientation="portrait" r:id="rId65"/>
    </customSheetView>
    <customSheetView guid="{8EBF087E-11C5-42EE-B564-FAEE72C86C17}" scale="130" showGridLines="0" state="hidden">
      <selection activeCell="E5" sqref="E5"/>
      <pageMargins left="0.7" right="0.7" top="0.75" bottom="0.75" header="0.3" footer="0.3"/>
      <pageSetup orientation="portrait" r:id="rId66"/>
    </customSheetView>
    <customSheetView guid="{F716839F-5448-40FC-95BC-286199FD6764}" scale="130" showGridLines="0" state="hidden">
      <selection activeCell="E5" sqref="E5"/>
      <pageMargins left="0.7" right="0.7" top="0.75" bottom="0.75" header="0.3" footer="0.3"/>
      <pageSetup orientation="portrait" r:id="rId67"/>
    </customSheetView>
    <customSheetView guid="{E712F22D-DF79-4936-B86B-186E637372BF}" scale="130" showGridLines="0" state="hidden">
      <selection activeCell="E5" sqref="E5"/>
      <pageMargins left="0.7" right="0.7" top="0.75" bottom="0.75" header="0.3" footer="0.3"/>
      <pageSetup orientation="portrait" r:id="rId68"/>
    </customSheetView>
    <customSheetView guid="{672B3D91-11D6-418C-A856-9FF74CE5E6FB}" scale="130" showGridLines="0" state="hidden">
      <selection activeCell="E5" sqref="E5"/>
      <pageMargins left="0.7" right="0.7" top="0.75" bottom="0.75" header="0.3" footer="0.3"/>
      <pageSetup orientation="portrait" r:id="rId69"/>
    </customSheetView>
    <customSheetView guid="{5B4753E1-B7DC-40C2-A28F-B07A6CB075FE}" scale="130" showGridLines="0" state="hidden">
      <selection activeCell="E5" sqref="E5"/>
      <pageMargins left="0.7" right="0.7" top="0.75" bottom="0.75" header="0.3" footer="0.3"/>
      <pageSetup orientation="portrait" r:id="rId70"/>
    </customSheetView>
    <customSheetView guid="{EF2006E2-DE9B-4938-AD6F-8255BE7D529F}" scale="130" showGridLines="0" state="hidden">
      <selection activeCell="E5" sqref="E5"/>
      <pageMargins left="0.7" right="0.7" top="0.75" bottom="0.75" header="0.3" footer="0.3"/>
      <pageSetup orientation="portrait" r:id="rId71"/>
    </customSheetView>
    <customSheetView guid="{0BFB30CE-F6D9-44B3-99BA-62858BF46600}" scale="130" showGridLines="0" state="hidden">
      <selection activeCell="E5" sqref="E5"/>
      <pageMargins left="0.7" right="0.7" top="0.75" bottom="0.75" header="0.3" footer="0.3"/>
      <pageSetup orientation="portrait" r:id="rId72"/>
    </customSheetView>
    <customSheetView guid="{E3977DAC-58A9-43A5-A2CD-037AE84A3934}" scale="130" showGridLines="0" state="hidden">
      <selection activeCell="E5" sqref="E5"/>
      <pageMargins left="0.7" right="0.7" top="0.75" bottom="0.75" header="0.3" footer="0.3"/>
      <pageSetup orientation="portrait" r:id="rId73"/>
    </customSheetView>
    <customSheetView guid="{E18774DE-EF27-4708-91D7-FE2A7EE4C992}" scale="130" showGridLines="0" state="hidden">
      <selection activeCell="E5" sqref="E5"/>
      <pageMargins left="0.7" right="0.7" top="0.75" bottom="0.75" header="0.3" footer="0.3"/>
      <pageSetup orientation="portrait" r:id="rId74"/>
    </customSheetView>
    <customSheetView guid="{F102CDDA-1DB7-4BD5-8A8F-CD5640485596}" scale="130" showGridLines="0" state="hidden">
      <selection activeCell="E5" sqref="E5"/>
      <pageMargins left="0.7" right="0.7" top="0.75" bottom="0.75" header="0.3" footer="0.3"/>
      <pageSetup orientation="portrait" r:id="rId75"/>
    </customSheetView>
    <customSheetView guid="{A3C7F73E-8288-4122-801A-9A426BB0DFB8}" scale="130" showGridLines="0" state="hidden">
      <selection activeCell="E5" sqref="E5"/>
      <pageMargins left="0.7" right="0.7" top="0.75" bottom="0.75" header="0.3" footer="0.3"/>
      <pageSetup orientation="portrait" r:id="rId76"/>
    </customSheetView>
    <customSheetView guid="{C1FEC2CE-0AE0-4F12-8438-BD3D230D3830}" scale="130" showGridLines="0" state="hidden">
      <selection activeCell="E5" sqref="E5"/>
      <pageMargins left="0.7" right="0.7" top="0.75" bottom="0.75" header="0.3" footer="0.3"/>
      <pageSetup orientation="portrait" r:id="rId77"/>
    </customSheetView>
    <customSheetView guid="{576A445C-3D9A-438D-AC68-B679E3D65634}" scale="130" showGridLines="0" state="hidden">
      <selection activeCell="E5" sqref="E5"/>
      <pageMargins left="0.7" right="0.7" top="0.75" bottom="0.75" header="0.3" footer="0.3"/>
      <pageSetup orientation="portrait" r:id="rId78"/>
    </customSheetView>
  </customSheetViews>
  <conditionalFormatting sqref="F42:F47">
    <cfRule type="expression" dxfId="2" priority="3">
      <formula>$F42=$G42</formula>
    </cfRule>
  </conditionalFormatting>
  <conditionalFormatting sqref="E7:E12">
    <cfRule type="expression" dxfId="1" priority="2">
      <formula>$E7=$F7</formula>
    </cfRule>
  </conditionalFormatting>
  <conditionalFormatting sqref="E25:E30">
    <cfRule type="expression" dxfId="0" priority="1">
      <formula>$E25=$F25</formula>
    </cfRule>
  </conditionalFormatting>
  <pageMargins left="0.7" right="0.7" top="0.75" bottom="0.75" header="0.3" footer="0.3"/>
  <pageSetup orientation="portrait" r:id="rId79"/>
  <drawing r:id="rId8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C4:L43"/>
  <sheetViews>
    <sheetView showGridLines="0" tabSelected="1" topLeftCell="A28" zoomScale="120" zoomScaleNormal="120" workbookViewId="0">
      <selection activeCell="F35" sqref="F35"/>
    </sheetView>
  </sheetViews>
  <sheetFormatPr defaultRowHeight="15" x14ac:dyDescent="0.25"/>
  <cols>
    <col min="3" max="3" width="13.5703125" bestFit="1" customWidth="1"/>
    <col min="4" max="4" width="12.42578125" bestFit="1" customWidth="1"/>
    <col min="5" max="5" width="17.5703125" bestFit="1" customWidth="1"/>
    <col min="6" max="6" width="28.140625" bestFit="1" customWidth="1"/>
  </cols>
  <sheetData>
    <row r="4" spans="3:12" ht="18.75" x14ac:dyDescent="0.3">
      <c r="C4" s="10" t="s">
        <v>46</v>
      </c>
      <c r="D4" s="10" t="s">
        <v>45</v>
      </c>
      <c r="E4" s="10" t="s">
        <v>47</v>
      </c>
      <c r="F4" s="10" t="s">
        <v>57</v>
      </c>
    </row>
    <row r="5" spans="3:12" ht="18.75" x14ac:dyDescent="0.25">
      <c r="C5" s="6" t="s">
        <v>40</v>
      </c>
      <c r="D5" s="6" t="s">
        <v>44</v>
      </c>
      <c r="E5" s="6" t="s">
        <v>48</v>
      </c>
      <c r="F5" s="15" t="str">
        <f>CONCATENATE(C5,D5,E5)</f>
        <v>ShirtLLouis Vuitton</v>
      </c>
    </row>
    <row r="6" spans="3:12" ht="18.75" x14ac:dyDescent="0.25">
      <c r="C6" s="6" t="s">
        <v>41</v>
      </c>
      <c r="D6" s="6" t="s">
        <v>42</v>
      </c>
      <c r="E6" s="6" t="s">
        <v>51</v>
      </c>
      <c r="F6" s="15" t="str">
        <f t="shared" ref="F6:F13" si="0">CONCATENATE(C6,D6,E6)</f>
        <v>PantsSBurberry</v>
      </c>
    </row>
    <row r="7" spans="3:12" ht="18.75" customHeight="1" x14ac:dyDescent="0.25">
      <c r="C7" s="6" t="s">
        <v>40</v>
      </c>
      <c r="D7" s="6" t="s">
        <v>43</v>
      </c>
      <c r="E7" s="6" t="s">
        <v>49</v>
      </c>
      <c r="F7" s="15" t="str">
        <f t="shared" si="0"/>
        <v>ShirtMChanel</v>
      </c>
      <c r="H7" s="22" t="s">
        <v>85</v>
      </c>
      <c r="I7" s="22"/>
      <c r="J7" s="22"/>
      <c r="K7" s="22"/>
      <c r="L7" s="22"/>
    </row>
    <row r="8" spans="3:12" ht="18.75" x14ac:dyDescent="0.25">
      <c r="C8" s="6" t="s">
        <v>41</v>
      </c>
      <c r="D8" s="6" t="s">
        <v>43</v>
      </c>
      <c r="E8" s="6" t="s">
        <v>50</v>
      </c>
      <c r="F8" s="15" t="str">
        <f t="shared" si="0"/>
        <v>PantsMH&amp;M</v>
      </c>
      <c r="H8" s="22"/>
      <c r="I8" s="22"/>
      <c r="J8" s="22"/>
      <c r="K8" s="22"/>
      <c r="L8" s="22"/>
    </row>
    <row r="9" spans="3:12" ht="18.75" x14ac:dyDescent="0.25">
      <c r="C9" s="6" t="s">
        <v>40</v>
      </c>
      <c r="D9" s="6" t="s">
        <v>44</v>
      </c>
      <c r="E9" s="6" t="s">
        <v>52</v>
      </c>
      <c r="F9" s="15" t="str">
        <f t="shared" si="0"/>
        <v>ShirtLRalph Lauren</v>
      </c>
    </row>
    <row r="10" spans="3:12" ht="18.75" x14ac:dyDescent="0.25">
      <c r="C10" s="6" t="s">
        <v>41</v>
      </c>
      <c r="D10" s="6" t="s">
        <v>44</v>
      </c>
      <c r="E10" s="6" t="s">
        <v>54</v>
      </c>
      <c r="F10" s="15" t="str">
        <f t="shared" si="0"/>
        <v>PantsLLevi's</v>
      </c>
    </row>
    <row r="11" spans="3:12" ht="18.75" x14ac:dyDescent="0.25">
      <c r="C11" s="6" t="s">
        <v>40</v>
      </c>
      <c r="D11" s="6" t="s">
        <v>42</v>
      </c>
      <c r="E11" s="6" t="s">
        <v>53</v>
      </c>
      <c r="F11" s="15" t="str">
        <f t="shared" si="0"/>
        <v>ShirtSOmega</v>
      </c>
    </row>
    <row r="12" spans="3:12" ht="18.75" x14ac:dyDescent="0.25">
      <c r="C12" s="6" t="s">
        <v>41</v>
      </c>
      <c r="D12" s="6" t="s">
        <v>43</v>
      </c>
      <c r="E12" s="6" t="s">
        <v>56</v>
      </c>
      <c r="F12" s="15" t="str">
        <f t="shared" si="0"/>
        <v>PantsMUnder Armour</v>
      </c>
    </row>
    <row r="13" spans="3:12" ht="18.75" x14ac:dyDescent="0.25">
      <c r="C13" s="6" t="s">
        <v>41</v>
      </c>
      <c r="D13" s="6" t="s">
        <v>44</v>
      </c>
      <c r="E13" s="6" t="s">
        <v>55</v>
      </c>
      <c r="F13" s="15" t="str">
        <f t="shared" si="0"/>
        <v>PantsLMichael Kors</v>
      </c>
    </row>
    <row r="19" spans="3:12" ht="18.75" x14ac:dyDescent="0.3">
      <c r="C19" s="10" t="s">
        <v>46</v>
      </c>
      <c r="D19" s="10" t="s">
        <v>45</v>
      </c>
      <c r="E19" s="10" t="s">
        <v>47</v>
      </c>
      <c r="F19" s="10" t="s">
        <v>57</v>
      </c>
    </row>
    <row r="20" spans="3:12" ht="18.75" x14ac:dyDescent="0.25">
      <c r="C20" s="6" t="s">
        <v>40</v>
      </c>
      <c r="D20" s="6" t="s">
        <v>42</v>
      </c>
      <c r="E20" s="6" t="s">
        <v>48</v>
      </c>
      <c r="F20" s="15" t="str">
        <f>CONCATENATE(C20,"-",D20,"-",E20)</f>
        <v>Shirt-S-Louis Vuitton</v>
      </c>
    </row>
    <row r="21" spans="3:12" ht="18.75" x14ac:dyDescent="0.25">
      <c r="C21" s="6" t="s">
        <v>41</v>
      </c>
      <c r="D21" s="6" t="s">
        <v>42</v>
      </c>
      <c r="E21" s="6" t="s">
        <v>51</v>
      </c>
      <c r="F21" s="15" t="str">
        <f t="shared" ref="F21:F28" si="1">CONCATENATE(C21,"-",D21,"-",E21)</f>
        <v>Pants-S-Burberry</v>
      </c>
    </row>
    <row r="22" spans="3:12" ht="18.75" customHeight="1" x14ac:dyDescent="0.25">
      <c r="C22" s="6" t="s">
        <v>40</v>
      </c>
      <c r="D22" s="6" t="s">
        <v>43</v>
      </c>
      <c r="E22" s="6" t="s">
        <v>49</v>
      </c>
      <c r="F22" s="15" t="str">
        <f t="shared" si="1"/>
        <v>Shirt-M-Chanel</v>
      </c>
      <c r="H22" s="22" t="s">
        <v>58</v>
      </c>
      <c r="I22" s="22"/>
      <c r="J22" s="22"/>
      <c r="K22" s="22"/>
      <c r="L22" s="22"/>
    </row>
    <row r="23" spans="3:12" ht="18.75" x14ac:dyDescent="0.25">
      <c r="C23" s="6" t="s">
        <v>41</v>
      </c>
      <c r="D23" s="6" t="s">
        <v>43</v>
      </c>
      <c r="E23" s="6" t="s">
        <v>50</v>
      </c>
      <c r="F23" s="15" t="str">
        <f t="shared" si="1"/>
        <v>Pants-M-H&amp;M</v>
      </c>
      <c r="H23" s="22"/>
      <c r="I23" s="22"/>
      <c r="J23" s="22"/>
      <c r="K23" s="22"/>
      <c r="L23" s="22"/>
    </row>
    <row r="24" spans="3:12" ht="18.75" x14ac:dyDescent="0.25">
      <c r="C24" s="6" t="s">
        <v>40</v>
      </c>
      <c r="D24" s="6" t="s">
        <v>44</v>
      </c>
      <c r="E24" s="6" t="s">
        <v>52</v>
      </c>
      <c r="F24" s="15" t="str">
        <f t="shared" si="1"/>
        <v>Shirt-L-Ralph Lauren</v>
      </c>
    </row>
    <row r="25" spans="3:12" ht="18.75" x14ac:dyDescent="0.25">
      <c r="C25" s="6" t="s">
        <v>41</v>
      </c>
      <c r="D25" s="6" t="s">
        <v>44</v>
      </c>
      <c r="E25" s="6" t="s">
        <v>54</v>
      </c>
      <c r="F25" s="15" t="str">
        <f t="shared" si="1"/>
        <v>Pants-L-Levi's</v>
      </c>
    </row>
    <row r="26" spans="3:12" ht="18.75" x14ac:dyDescent="0.25">
      <c r="C26" s="6" t="s">
        <v>40</v>
      </c>
      <c r="D26" s="6" t="s">
        <v>42</v>
      </c>
      <c r="E26" s="6" t="s">
        <v>53</v>
      </c>
      <c r="F26" s="15" t="str">
        <f t="shared" si="1"/>
        <v>Shirt-S-Omega</v>
      </c>
    </row>
    <row r="27" spans="3:12" ht="18.75" x14ac:dyDescent="0.25">
      <c r="C27" s="6" t="s">
        <v>41</v>
      </c>
      <c r="D27" s="6" t="s">
        <v>43</v>
      </c>
      <c r="E27" s="6" t="s">
        <v>56</v>
      </c>
      <c r="F27" s="15" t="str">
        <f t="shared" si="1"/>
        <v>Pants-M-Under Armour</v>
      </c>
    </row>
    <row r="28" spans="3:12" ht="18.75" x14ac:dyDescent="0.25">
      <c r="C28" s="6" t="s">
        <v>41</v>
      </c>
      <c r="D28" s="6" t="s">
        <v>44</v>
      </c>
      <c r="E28" s="6" t="s">
        <v>55</v>
      </c>
      <c r="F28" s="15" t="str">
        <f t="shared" si="1"/>
        <v>Pants-L-Michael Kors</v>
      </c>
    </row>
    <row r="34" spans="3:12" ht="18.75" x14ac:dyDescent="0.3">
      <c r="C34" s="10" t="s">
        <v>46</v>
      </c>
      <c r="D34" s="10" t="s">
        <v>45</v>
      </c>
      <c r="E34" s="10" t="s">
        <v>47</v>
      </c>
      <c r="F34" s="10" t="s">
        <v>57</v>
      </c>
    </row>
    <row r="35" spans="3:12" ht="18.75" x14ac:dyDescent="0.25">
      <c r="C35" s="6" t="s">
        <v>40</v>
      </c>
      <c r="D35" s="6" t="s">
        <v>42</v>
      </c>
      <c r="E35" s="6" t="s">
        <v>48</v>
      </c>
      <c r="F35" s="15" t="e">
        <f ca="1">textjoin()</f>
        <v>#NAME?</v>
      </c>
    </row>
    <row r="36" spans="3:12" ht="18.75" x14ac:dyDescent="0.25">
      <c r="C36" s="6" t="s">
        <v>41</v>
      </c>
      <c r="D36" s="6" t="s">
        <v>42</v>
      </c>
      <c r="E36" s="6" t="s">
        <v>51</v>
      </c>
      <c r="F36" s="15"/>
    </row>
    <row r="37" spans="3:12" ht="18.75" customHeight="1" x14ac:dyDescent="0.25">
      <c r="C37" s="6" t="s">
        <v>40</v>
      </c>
      <c r="D37" s="6" t="s">
        <v>43</v>
      </c>
      <c r="E37" s="6" t="s">
        <v>49</v>
      </c>
      <c r="F37" s="15"/>
      <c r="H37" s="22" t="s">
        <v>58</v>
      </c>
      <c r="I37" s="22"/>
      <c r="J37" s="22"/>
      <c r="K37" s="22"/>
      <c r="L37" s="22"/>
    </row>
    <row r="38" spans="3:12" ht="18.75" x14ac:dyDescent="0.25">
      <c r="C38" s="6" t="s">
        <v>41</v>
      </c>
      <c r="D38" s="6" t="s">
        <v>43</v>
      </c>
      <c r="E38" s="6" t="s">
        <v>50</v>
      </c>
      <c r="F38" s="15"/>
      <c r="H38" s="22"/>
      <c r="I38" s="22"/>
      <c r="J38" s="22"/>
      <c r="K38" s="22"/>
      <c r="L38" s="22"/>
    </row>
    <row r="39" spans="3:12" ht="18.75" x14ac:dyDescent="0.25">
      <c r="C39" s="6" t="s">
        <v>40</v>
      </c>
      <c r="D39" s="6" t="s">
        <v>44</v>
      </c>
      <c r="E39" s="6" t="s">
        <v>52</v>
      </c>
      <c r="F39" s="15"/>
    </row>
    <row r="40" spans="3:12" ht="18.75" x14ac:dyDescent="0.25">
      <c r="C40" s="6" t="s">
        <v>41</v>
      </c>
      <c r="D40" s="6" t="s">
        <v>44</v>
      </c>
      <c r="E40" s="6" t="s">
        <v>54</v>
      </c>
      <c r="F40" s="15"/>
    </row>
    <row r="41" spans="3:12" ht="18.75" x14ac:dyDescent="0.25">
      <c r="C41" s="6" t="s">
        <v>40</v>
      </c>
      <c r="D41" s="6" t="s">
        <v>42</v>
      </c>
      <c r="E41" s="6" t="s">
        <v>53</v>
      </c>
      <c r="F41" s="15"/>
    </row>
    <row r="42" spans="3:12" ht="18.75" x14ac:dyDescent="0.25">
      <c r="C42" s="6" t="s">
        <v>41</v>
      </c>
      <c r="D42" s="6" t="s">
        <v>43</v>
      </c>
      <c r="E42" s="6" t="s">
        <v>56</v>
      </c>
      <c r="F42" s="15"/>
    </row>
    <row r="43" spans="3:12" ht="18.75" x14ac:dyDescent="0.25">
      <c r="C43" s="6" t="s">
        <v>41</v>
      </c>
      <c r="D43" s="6" t="s">
        <v>44</v>
      </c>
      <c r="E43" s="6" t="s">
        <v>55</v>
      </c>
      <c r="F43" s="15"/>
    </row>
  </sheetData>
  <customSheetViews>
    <customSheetView guid="{4725FB26-BADE-478E-8CB6-C0172942A9EE}" scale="120" showGridLines="0">
      <selection activeCell="C5" sqref="C5"/>
      <pageMargins left="0.7" right="0.7" top="0.75" bottom="0.75" header="0.3" footer="0.3"/>
      <pageSetup orientation="portrait" r:id="rId1"/>
    </customSheetView>
    <customSheetView guid="{5B82F60B-B869-45D3-9A7D-2B843E789197}" scale="120" showGridLines="0">
      <selection activeCell="C5" sqref="C5"/>
      <pageMargins left="0.7" right="0.7" top="0.75" bottom="0.75" header="0.3" footer="0.3"/>
      <pageSetup orientation="portrait" r:id="rId2"/>
    </customSheetView>
    <customSheetView guid="{73745901-4C3A-49DD-83C4-0AEBB167DB63}" scale="120" showGridLines="0">
      <selection activeCell="C5" sqref="C5"/>
      <pageMargins left="0.7" right="0.7" top="0.75" bottom="0.75" header="0.3" footer="0.3"/>
      <pageSetup orientation="portrait" r:id="rId3"/>
    </customSheetView>
    <customSheetView guid="{AE37E6D9-7485-4A75-9115-FDBD1A6E08D0}" scale="120" showGridLines="0">
      <selection activeCell="C5" sqref="C5"/>
      <pageMargins left="0.7" right="0.7" top="0.75" bottom="0.75" header="0.3" footer="0.3"/>
      <pageSetup orientation="portrait" r:id="rId4"/>
    </customSheetView>
    <customSheetView guid="{28C5C254-2672-4A7F-9398-2FA6F99EE3FF}" scale="120" showGridLines="0">
      <selection activeCell="C5" sqref="C5"/>
      <pageMargins left="0.7" right="0.7" top="0.75" bottom="0.75" header="0.3" footer="0.3"/>
      <pageSetup orientation="portrait" r:id="rId5"/>
    </customSheetView>
    <customSheetView guid="{9967D63C-4135-4BF7-A83B-0EC0A28A8504}" scale="120" showGridLines="0">
      <selection activeCell="C5" sqref="C5"/>
      <pageMargins left="0.7" right="0.7" top="0.75" bottom="0.75" header="0.3" footer="0.3"/>
      <pageSetup orientation="portrait" r:id="rId6"/>
    </customSheetView>
    <customSheetView guid="{8DC39A41-9961-4A5C-8659-B8A82A01A470}" scale="120" showGridLines="0">
      <selection activeCell="C5" sqref="C5"/>
      <pageMargins left="0.7" right="0.7" top="0.75" bottom="0.75" header="0.3" footer="0.3"/>
      <pageSetup orientation="portrait" r:id="rId7"/>
    </customSheetView>
    <customSheetView guid="{06F040C9-291C-44DD-A11A-B2BAF2078CA1}" scale="120" showGridLines="0">
      <selection activeCell="C5" sqref="C5"/>
      <pageMargins left="0.7" right="0.7" top="0.75" bottom="0.75" header="0.3" footer="0.3"/>
      <pageSetup orientation="portrait" r:id="rId8"/>
    </customSheetView>
    <customSheetView guid="{AC1AC0BB-7D81-4427-80BF-DB36D3CC12C1}" scale="120" showGridLines="0">
      <selection activeCell="C5" sqref="C5"/>
      <pageMargins left="0.7" right="0.7" top="0.75" bottom="0.75" header="0.3" footer="0.3"/>
      <pageSetup orientation="portrait" r:id="rId9"/>
    </customSheetView>
    <customSheetView guid="{31F90F3E-FB31-437F-ADCE-44D58804C41D}" scale="120" showGridLines="0">
      <selection activeCell="C5" sqref="C5"/>
      <pageMargins left="0.7" right="0.7" top="0.75" bottom="0.75" header="0.3" footer="0.3"/>
      <pageSetup orientation="portrait" r:id="rId10"/>
    </customSheetView>
    <customSheetView guid="{57F7A421-8FD3-4470-813D-526D207C0AED}" scale="120" showGridLines="0">
      <selection activeCell="C5" sqref="C5"/>
      <pageMargins left="0.7" right="0.7" top="0.75" bottom="0.75" header="0.3" footer="0.3"/>
      <pageSetup orientation="portrait" r:id="rId11"/>
    </customSheetView>
    <customSheetView guid="{E065FC95-9F37-4AD0-A6AF-202A080459EB}" scale="120" showGridLines="0">
      <selection activeCell="C5" sqref="C5"/>
      <pageMargins left="0.7" right="0.7" top="0.75" bottom="0.75" header="0.3" footer="0.3"/>
      <pageSetup orientation="portrait" r:id="rId12"/>
    </customSheetView>
    <customSheetView guid="{A979108F-FF23-4967-8663-1A0C9618D854}" scale="120" showGridLines="0" topLeftCell="A31">
      <selection activeCell="L26" sqref="L26"/>
      <pageMargins left="0.7" right="0.7" top="0.75" bottom="0.75" header="0.3" footer="0.3"/>
      <pageSetup orientation="portrait" r:id="rId13"/>
    </customSheetView>
    <customSheetView guid="{AD9596A8-734D-48AD-8922-A58933E39AB8}" scale="120" showGridLines="0" topLeftCell="A16">
      <selection activeCell="F5" sqref="F5"/>
      <pageMargins left="0.7" right="0.7" top="0.75" bottom="0.75" header="0.3" footer="0.3"/>
      <pageSetup orientation="portrait" r:id="rId14"/>
    </customSheetView>
    <customSheetView guid="{DFB07116-697D-42FF-ACBD-E8FE92938B16}" scale="120" showGridLines="0">
      <selection activeCell="F5" sqref="F5"/>
      <pageMargins left="0.7" right="0.7" top="0.75" bottom="0.75" header="0.3" footer="0.3"/>
      <pageSetup orientation="portrait" r:id="rId15"/>
    </customSheetView>
  </customSheetViews>
  <mergeCells count="3">
    <mergeCell ref="H7:L8"/>
    <mergeCell ref="H22:L23"/>
    <mergeCell ref="H37:L38"/>
  </mergeCells>
  <pageMargins left="0.7" right="0.7" top="0.75" bottom="0.75" header="0.3" footer="0.3"/>
  <pageSetup orientation="portrait" r:id="rId16"/>
  <drawing r:id="rId17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C4:L43"/>
  <sheetViews>
    <sheetView showGridLines="0" topLeftCell="A34" zoomScale="120" zoomScaleNormal="120" workbookViewId="0">
      <selection activeCell="F35" sqref="F35:F43"/>
    </sheetView>
  </sheetViews>
  <sheetFormatPr defaultRowHeight="15" x14ac:dyDescent="0.25"/>
  <cols>
    <col min="3" max="3" width="13.5703125" bestFit="1" customWidth="1"/>
    <col min="4" max="4" width="12.42578125" bestFit="1" customWidth="1"/>
    <col min="5" max="5" width="20.28515625" bestFit="1" customWidth="1"/>
    <col min="6" max="6" width="28.140625" bestFit="1" customWidth="1"/>
  </cols>
  <sheetData>
    <row r="4" spans="3:12" ht="18.75" x14ac:dyDescent="0.3">
      <c r="C4" s="10" t="s">
        <v>46</v>
      </c>
      <c r="D4" s="10" t="s">
        <v>45</v>
      </c>
      <c r="E4" s="10" t="s">
        <v>47</v>
      </c>
      <c r="F4" s="10" t="s">
        <v>57</v>
      </c>
    </row>
    <row r="5" spans="3:12" ht="18.75" x14ac:dyDescent="0.25">
      <c r="C5" s="6" t="s">
        <v>40</v>
      </c>
      <c r="D5" s="6" t="s">
        <v>42</v>
      </c>
      <c r="E5" s="6" t="s">
        <v>48</v>
      </c>
      <c r="F5" s="6" t="str">
        <f>UPPER(E5)</f>
        <v>LOUIS VUITTON</v>
      </c>
    </row>
    <row r="6" spans="3:12" ht="18.75" x14ac:dyDescent="0.25">
      <c r="C6" s="6" t="s">
        <v>41</v>
      </c>
      <c r="D6" s="6" t="s">
        <v>42</v>
      </c>
      <c r="E6" s="6" t="s">
        <v>51</v>
      </c>
      <c r="F6" s="6" t="str">
        <f t="shared" ref="F6:F13" si="0">UPPER(E6)</f>
        <v>BURBERRY</v>
      </c>
    </row>
    <row r="7" spans="3:12" ht="18.75" customHeight="1" x14ac:dyDescent="0.25">
      <c r="C7" s="6" t="s">
        <v>40</v>
      </c>
      <c r="D7" s="6" t="s">
        <v>43</v>
      </c>
      <c r="E7" s="6" t="s">
        <v>49</v>
      </c>
      <c r="F7" s="6" t="str">
        <f t="shared" si="0"/>
        <v>CHANEL</v>
      </c>
      <c r="H7" s="22" t="s">
        <v>69</v>
      </c>
      <c r="I7" s="22"/>
      <c r="J7" s="22"/>
      <c r="K7" s="22"/>
      <c r="L7" s="22"/>
    </row>
    <row r="8" spans="3:12" ht="18.75" x14ac:dyDescent="0.25">
      <c r="C8" s="6" t="s">
        <v>41</v>
      </c>
      <c r="D8" s="6" t="s">
        <v>43</v>
      </c>
      <c r="E8" s="6" t="s">
        <v>50</v>
      </c>
      <c r="F8" s="6" t="str">
        <f t="shared" si="0"/>
        <v>H&amp;M</v>
      </c>
      <c r="H8" s="22"/>
      <c r="I8" s="22"/>
      <c r="J8" s="22"/>
      <c r="K8" s="22"/>
      <c r="L8" s="22"/>
    </row>
    <row r="9" spans="3:12" ht="18.75" x14ac:dyDescent="0.25">
      <c r="C9" s="6" t="s">
        <v>40</v>
      </c>
      <c r="D9" s="6" t="s">
        <v>44</v>
      </c>
      <c r="E9" s="6" t="s">
        <v>52</v>
      </c>
      <c r="F9" s="6" t="str">
        <f t="shared" si="0"/>
        <v>RALPH LAUREN</v>
      </c>
    </row>
    <row r="10" spans="3:12" ht="18.75" x14ac:dyDescent="0.25">
      <c r="C10" s="6" t="s">
        <v>41</v>
      </c>
      <c r="D10" s="6" t="s">
        <v>44</v>
      </c>
      <c r="E10" s="6" t="s">
        <v>54</v>
      </c>
      <c r="F10" s="6" t="str">
        <f t="shared" si="0"/>
        <v>LEVI'S</v>
      </c>
    </row>
    <row r="11" spans="3:12" ht="18.75" x14ac:dyDescent="0.25">
      <c r="C11" s="6" t="s">
        <v>40</v>
      </c>
      <c r="D11" s="6" t="s">
        <v>42</v>
      </c>
      <c r="E11" s="6" t="s">
        <v>53</v>
      </c>
      <c r="F11" s="6" t="str">
        <f t="shared" si="0"/>
        <v>OMEGA</v>
      </c>
    </row>
    <row r="12" spans="3:12" ht="18.75" x14ac:dyDescent="0.25">
      <c r="C12" s="6" t="s">
        <v>41</v>
      </c>
      <c r="D12" s="6" t="s">
        <v>43</v>
      </c>
      <c r="E12" s="6" t="s">
        <v>56</v>
      </c>
      <c r="F12" s="6" t="str">
        <f t="shared" si="0"/>
        <v>UNDER ARMOUR</v>
      </c>
    </row>
    <row r="13" spans="3:12" ht="18.75" x14ac:dyDescent="0.25">
      <c r="C13" s="6" t="s">
        <v>41</v>
      </c>
      <c r="D13" s="6" t="s">
        <v>44</v>
      </c>
      <c r="E13" s="6" t="s">
        <v>55</v>
      </c>
      <c r="F13" s="6" t="str">
        <f t="shared" si="0"/>
        <v>MICHAEL KORS</v>
      </c>
    </row>
    <row r="19" spans="3:12" ht="18.75" x14ac:dyDescent="0.3">
      <c r="C19" s="10" t="s">
        <v>46</v>
      </c>
      <c r="D19" s="10" t="s">
        <v>45</v>
      </c>
      <c r="E19" s="10" t="s">
        <v>47</v>
      </c>
      <c r="F19" s="10" t="s">
        <v>57</v>
      </c>
    </row>
    <row r="20" spans="3:12" ht="18.75" x14ac:dyDescent="0.25">
      <c r="C20" s="6" t="s">
        <v>40</v>
      </c>
      <c r="D20" s="6" t="s">
        <v>42</v>
      </c>
      <c r="E20" s="6" t="s">
        <v>67</v>
      </c>
      <c r="F20" s="6" t="str">
        <f>LOWER(E20)</f>
        <v>louis vuitton</v>
      </c>
    </row>
    <row r="21" spans="3:12" ht="18.75" x14ac:dyDescent="0.25">
      <c r="C21" s="6" t="s">
        <v>41</v>
      </c>
      <c r="D21" s="6" t="s">
        <v>42</v>
      </c>
      <c r="E21" s="6" t="s">
        <v>66</v>
      </c>
      <c r="F21" s="6" t="str">
        <f t="shared" ref="F21:F28" si="1">LOWER(E21)</f>
        <v>burberry</v>
      </c>
    </row>
    <row r="22" spans="3:12" ht="18.75" customHeight="1" x14ac:dyDescent="0.25">
      <c r="C22" s="6" t="s">
        <v>40</v>
      </c>
      <c r="D22" s="6" t="s">
        <v>43</v>
      </c>
      <c r="E22" s="6" t="s">
        <v>65</v>
      </c>
      <c r="F22" s="6" t="str">
        <f t="shared" si="1"/>
        <v>chanel</v>
      </c>
      <c r="H22" s="22" t="s">
        <v>68</v>
      </c>
      <c r="I22" s="22"/>
      <c r="J22" s="22"/>
      <c r="K22" s="22"/>
      <c r="L22" s="22"/>
    </row>
    <row r="23" spans="3:12" ht="18.75" x14ac:dyDescent="0.25">
      <c r="C23" s="6" t="s">
        <v>41</v>
      </c>
      <c r="D23" s="6" t="s">
        <v>43</v>
      </c>
      <c r="E23" s="6" t="s">
        <v>50</v>
      </c>
      <c r="F23" s="6" t="str">
        <f t="shared" si="1"/>
        <v>h&amp;m</v>
      </c>
      <c r="H23" s="22"/>
      <c r="I23" s="22"/>
      <c r="J23" s="22"/>
      <c r="K23" s="22"/>
      <c r="L23" s="22"/>
    </row>
    <row r="24" spans="3:12" ht="18.75" x14ac:dyDescent="0.25">
      <c r="C24" s="6" t="s">
        <v>40</v>
      </c>
      <c r="D24" s="6" t="s">
        <v>44</v>
      </c>
      <c r="E24" s="6" t="s">
        <v>63</v>
      </c>
      <c r="F24" s="6" t="str">
        <f t="shared" si="1"/>
        <v>ralph lauren</v>
      </c>
    </row>
    <row r="25" spans="3:12" ht="18.75" x14ac:dyDescent="0.25">
      <c r="C25" s="6" t="s">
        <v>41</v>
      </c>
      <c r="D25" s="6" t="s">
        <v>44</v>
      </c>
      <c r="E25" s="6" t="s">
        <v>62</v>
      </c>
      <c r="F25" s="6" t="str">
        <f t="shared" si="1"/>
        <v>levi's</v>
      </c>
    </row>
    <row r="26" spans="3:12" ht="18.75" x14ac:dyDescent="0.25">
      <c r="C26" s="6" t="s">
        <v>40</v>
      </c>
      <c r="D26" s="6" t="s">
        <v>42</v>
      </c>
      <c r="E26" s="6" t="s">
        <v>61</v>
      </c>
      <c r="F26" s="6" t="str">
        <f t="shared" si="1"/>
        <v>omega</v>
      </c>
    </row>
    <row r="27" spans="3:12" ht="18.75" x14ac:dyDescent="0.25">
      <c r="C27" s="6" t="s">
        <v>41</v>
      </c>
      <c r="D27" s="6" t="s">
        <v>43</v>
      </c>
      <c r="E27" s="6" t="s">
        <v>60</v>
      </c>
      <c r="F27" s="6" t="str">
        <f t="shared" si="1"/>
        <v>under armour</v>
      </c>
    </row>
    <row r="28" spans="3:12" ht="18.75" x14ac:dyDescent="0.25">
      <c r="C28" s="6" t="s">
        <v>41</v>
      </c>
      <c r="D28" s="6" t="s">
        <v>44</v>
      </c>
      <c r="E28" s="6" t="s">
        <v>59</v>
      </c>
      <c r="F28" s="6" t="str">
        <f t="shared" si="1"/>
        <v>michael kors</v>
      </c>
    </row>
    <row r="34" spans="3:12" ht="18.75" x14ac:dyDescent="0.3">
      <c r="C34" s="10" t="s">
        <v>46</v>
      </c>
      <c r="D34" s="10" t="s">
        <v>45</v>
      </c>
      <c r="E34" s="10" t="s">
        <v>47</v>
      </c>
      <c r="F34" s="10" t="s">
        <v>57</v>
      </c>
    </row>
    <row r="35" spans="3:12" ht="18.75" x14ac:dyDescent="0.25">
      <c r="C35" s="6" t="s">
        <v>40</v>
      </c>
      <c r="D35" s="6" t="s">
        <v>42</v>
      </c>
      <c r="E35" s="6" t="s">
        <v>67</v>
      </c>
      <c r="F35" s="6" t="str">
        <f>PROPER(E35)</f>
        <v>Louis Vuitton</v>
      </c>
    </row>
    <row r="36" spans="3:12" ht="18.75" x14ac:dyDescent="0.25">
      <c r="C36" s="6" t="s">
        <v>41</v>
      </c>
      <c r="D36" s="6" t="s">
        <v>42</v>
      </c>
      <c r="E36" s="6" t="s">
        <v>66</v>
      </c>
      <c r="F36" s="6" t="str">
        <f t="shared" ref="F36:F43" si="2">PROPER(E36)</f>
        <v>Burberry</v>
      </c>
    </row>
    <row r="37" spans="3:12" ht="18.75" customHeight="1" x14ac:dyDescent="0.25">
      <c r="C37" s="6" t="s">
        <v>40</v>
      </c>
      <c r="D37" s="6" t="s">
        <v>43</v>
      </c>
      <c r="E37" s="6" t="s">
        <v>65</v>
      </c>
      <c r="F37" s="6" t="str">
        <f t="shared" si="2"/>
        <v>Chanel</v>
      </c>
      <c r="H37" s="22" t="s">
        <v>64</v>
      </c>
      <c r="I37" s="22"/>
      <c r="J37" s="22"/>
      <c r="K37" s="22"/>
      <c r="L37" s="22"/>
    </row>
    <row r="38" spans="3:12" ht="18.75" x14ac:dyDescent="0.25">
      <c r="C38" s="6" t="s">
        <v>41</v>
      </c>
      <c r="D38" s="6" t="s">
        <v>43</v>
      </c>
      <c r="E38" s="6" t="s">
        <v>50</v>
      </c>
      <c r="F38" s="6" t="str">
        <f t="shared" si="2"/>
        <v>H&amp;M</v>
      </c>
      <c r="H38" s="22"/>
      <c r="I38" s="22"/>
      <c r="J38" s="22"/>
      <c r="K38" s="22"/>
      <c r="L38" s="22"/>
    </row>
    <row r="39" spans="3:12" ht="18.75" x14ac:dyDescent="0.25">
      <c r="C39" s="6" t="s">
        <v>40</v>
      </c>
      <c r="D39" s="6" t="s">
        <v>44</v>
      </c>
      <c r="E39" s="6" t="s">
        <v>63</v>
      </c>
      <c r="F39" s="6" t="str">
        <f t="shared" si="2"/>
        <v>Ralph Lauren</v>
      </c>
    </row>
    <row r="40" spans="3:12" ht="18.75" x14ac:dyDescent="0.25">
      <c r="C40" s="6" t="s">
        <v>41</v>
      </c>
      <c r="D40" s="6" t="s">
        <v>44</v>
      </c>
      <c r="E40" s="6" t="s">
        <v>62</v>
      </c>
      <c r="F40" s="6" t="str">
        <f t="shared" si="2"/>
        <v>Levi'S</v>
      </c>
    </row>
    <row r="41" spans="3:12" ht="18.75" x14ac:dyDescent="0.25">
      <c r="C41" s="6" t="s">
        <v>40</v>
      </c>
      <c r="D41" s="6" t="s">
        <v>42</v>
      </c>
      <c r="E41" s="6" t="s">
        <v>61</v>
      </c>
      <c r="F41" s="6" t="str">
        <f t="shared" si="2"/>
        <v>Omega</v>
      </c>
    </row>
    <row r="42" spans="3:12" ht="18.75" x14ac:dyDescent="0.25">
      <c r="C42" s="6" t="s">
        <v>41</v>
      </c>
      <c r="D42" s="6" t="s">
        <v>43</v>
      </c>
      <c r="E42" s="6" t="s">
        <v>60</v>
      </c>
      <c r="F42" s="6" t="str">
        <f t="shared" si="2"/>
        <v>Under Armour</v>
      </c>
    </row>
    <row r="43" spans="3:12" ht="18.75" x14ac:dyDescent="0.25">
      <c r="C43" s="6" t="s">
        <v>41</v>
      </c>
      <c r="D43" s="6" t="s">
        <v>44</v>
      </c>
      <c r="E43" s="6" t="s">
        <v>59</v>
      </c>
      <c r="F43" s="6" t="str">
        <f t="shared" si="2"/>
        <v>Michael Kors</v>
      </c>
    </row>
  </sheetData>
  <customSheetViews>
    <customSheetView guid="{4725FB26-BADE-478E-8CB6-C0172942A9EE}" scale="120" showGridLines="0" topLeftCell="A31">
      <selection activeCell="F35" sqref="F35"/>
      <pageMargins left="0.7" right="0.7" top="0.75" bottom="0.75" header="0.3" footer="0.3"/>
      <pageSetup orientation="portrait" r:id="rId1"/>
    </customSheetView>
    <customSheetView guid="{5B82F60B-B869-45D3-9A7D-2B843E789197}" scale="120" showGridLines="0" topLeftCell="A31">
      <selection activeCell="F35" sqref="F35"/>
      <pageMargins left="0.7" right="0.7" top="0.75" bottom="0.75" header="0.3" footer="0.3"/>
      <pageSetup orientation="portrait" r:id="rId2"/>
    </customSheetView>
    <customSheetView guid="{73745901-4C3A-49DD-83C4-0AEBB167DB63}" scale="120" showGridLines="0" topLeftCell="A31">
      <selection activeCell="F35" sqref="F35"/>
      <pageMargins left="0.7" right="0.7" top="0.75" bottom="0.75" header="0.3" footer="0.3"/>
      <pageSetup orientation="portrait" r:id="rId3"/>
    </customSheetView>
    <customSheetView guid="{AE37E6D9-7485-4A75-9115-FDBD1A6E08D0}" scale="120" showGridLines="0" topLeftCell="A31">
      <selection activeCell="F35" sqref="F35"/>
      <pageMargins left="0.7" right="0.7" top="0.75" bottom="0.75" header="0.3" footer="0.3"/>
      <pageSetup orientation="portrait" r:id="rId4"/>
    </customSheetView>
    <customSheetView guid="{28C5C254-2672-4A7F-9398-2FA6F99EE3FF}" scale="120" showGridLines="0" topLeftCell="A31">
      <selection activeCell="F35" sqref="F35"/>
      <pageMargins left="0.7" right="0.7" top="0.75" bottom="0.75" header="0.3" footer="0.3"/>
      <pageSetup orientation="portrait" r:id="rId5"/>
    </customSheetView>
    <customSheetView guid="{9967D63C-4135-4BF7-A83B-0EC0A28A8504}" scale="120" showGridLines="0" topLeftCell="A31">
      <selection activeCell="F35" sqref="F35"/>
      <pageMargins left="0.7" right="0.7" top="0.75" bottom="0.75" header="0.3" footer="0.3"/>
      <pageSetup orientation="portrait" r:id="rId6"/>
    </customSheetView>
    <customSheetView guid="{8DC39A41-9961-4A5C-8659-B8A82A01A470}" scale="120" showGridLines="0" topLeftCell="A31">
      <selection activeCell="F35" sqref="F35"/>
      <pageMargins left="0.7" right="0.7" top="0.75" bottom="0.75" header="0.3" footer="0.3"/>
      <pageSetup orientation="portrait" r:id="rId7"/>
    </customSheetView>
    <customSheetView guid="{06F040C9-291C-44DD-A11A-B2BAF2078CA1}" scale="120" showGridLines="0" topLeftCell="A31">
      <selection activeCell="F35" sqref="F35"/>
      <pageMargins left="0.7" right="0.7" top="0.75" bottom="0.75" header="0.3" footer="0.3"/>
      <pageSetup orientation="portrait" r:id="rId8"/>
    </customSheetView>
    <customSheetView guid="{AC1AC0BB-7D81-4427-80BF-DB36D3CC12C1}" scale="120" showGridLines="0" topLeftCell="A31">
      <selection activeCell="F35" sqref="F35"/>
      <pageMargins left="0.7" right="0.7" top="0.75" bottom="0.75" header="0.3" footer="0.3"/>
      <pageSetup orientation="portrait" r:id="rId9"/>
    </customSheetView>
    <customSheetView guid="{31F90F3E-FB31-437F-ADCE-44D58804C41D}" scale="120" showGridLines="0" topLeftCell="A31">
      <selection activeCell="F35" sqref="F35"/>
      <pageMargins left="0.7" right="0.7" top="0.75" bottom="0.75" header="0.3" footer="0.3"/>
      <pageSetup orientation="portrait" r:id="rId10"/>
    </customSheetView>
    <customSheetView guid="{57F7A421-8FD3-4470-813D-526D207C0AED}" scale="120" showGridLines="0" topLeftCell="A16">
      <selection activeCell="F20" sqref="F20"/>
      <pageMargins left="0.7" right="0.7" top="0.75" bottom="0.75" header="0.3" footer="0.3"/>
      <pageSetup orientation="portrait" r:id="rId11"/>
    </customSheetView>
    <customSheetView guid="{E065FC95-9F37-4AD0-A6AF-202A080459EB}" scale="120" showGridLines="0">
      <selection activeCell="F5" sqref="F5"/>
      <pageMargins left="0.7" right="0.7" top="0.75" bottom="0.75" header="0.3" footer="0.3"/>
      <pageSetup orientation="portrait" r:id="rId12"/>
    </customSheetView>
    <customSheetView guid="{A979108F-FF23-4967-8663-1A0C9618D854}" scale="120" showGridLines="0">
      <selection activeCell="B18" sqref="B18"/>
      <pageMargins left="0.7" right="0.7" top="0.75" bottom="0.75" header="0.3" footer="0.3"/>
      <pageSetup orientation="portrait" r:id="rId13"/>
    </customSheetView>
    <customSheetView guid="{AD9596A8-734D-48AD-8922-A58933E39AB8}" scale="120" showGridLines="0">
      <selection activeCell="B18" sqref="B18"/>
      <pageMargins left="0.7" right="0.7" top="0.75" bottom="0.75" header="0.3" footer="0.3"/>
      <pageSetup orientation="portrait" r:id="rId14"/>
    </customSheetView>
    <customSheetView guid="{DFB07116-697D-42FF-ACBD-E8FE92938B16}" scale="120" showGridLines="0">
      <selection activeCell="B18" sqref="B18"/>
      <pageMargins left="0.7" right="0.7" top="0.75" bottom="0.75" header="0.3" footer="0.3"/>
      <pageSetup orientation="portrait" r:id="rId15"/>
    </customSheetView>
  </customSheetViews>
  <mergeCells count="3">
    <mergeCell ref="H7:L8"/>
    <mergeCell ref="H22:L23"/>
    <mergeCell ref="H37:L38"/>
  </mergeCells>
  <pageMargins left="0.7" right="0.7" top="0.75" bottom="0.75" header="0.3" footer="0.3"/>
  <pageSetup orientation="portrait" r:id="rId16"/>
  <drawing r:id="rId17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C4:L43"/>
  <sheetViews>
    <sheetView showGridLines="0" topLeftCell="A31" zoomScale="120" zoomScaleNormal="120" workbookViewId="0">
      <selection activeCell="H43" sqref="H43"/>
    </sheetView>
  </sheetViews>
  <sheetFormatPr defaultRowHeight="15" x14ac:dyDescent="0.25"/>
  <cols>
    <col min="3" max="3" width="13.5703125" bestFit="1" customWidth="1"/>
    <col min="4" max="4" width="12.42578125" bestFit="1" customWidth="1"/>
    <col min="5" max="5" width="17.5703125" bestFit="1" customWidth="1"/>
    <col min="6" max="6" width="28.140625" bestFit="1" customWidth="1"/>
  </cols>
  <sheetData>
    <row r="4" spans="3:12" ht="18.75" x14ac:dyDescent="0.3">
      <c r="C4" s="10" t="s">
        <v>46</v>
      </c>
      <c r="D4" s="10" t="s">
        <v>45</v>
      </c>
      <c r="E4" s="10" t="s">
        <v>47</v>
      </c>
      <c r="F4" s="10" t="s">
        <v>57</v>
      </c>
    </row>
    <row r="5" spans="3:12" ht="18.75" x14ac:dyDescent="0.25">
      <c r="C5" s="6" t="s">
        <v>40</v>
      </c>
      <c r="D5" s="6" t="s">
        <v>42</v>
      </c>
      <c r="E5" s="6" t="s">
        <v>48</v>
      </c>
      <c r="F5" s="6" t="str">
        <f>LEFT(E5,3)</f>
        <v>Lou</v>
      </c>
    </row>
    <row r="6" spans="3:12" ht="18.75" x14ac:dyDescent="0.25">
      <c r="C6" s="6" t="s">
        <v>41</v>
      </c>
      <c r="D6" s="6" t="s">
        <v>42</v>
      </c>
      <c r="E6" s="6" t="s">
        <v>51</v>
      </c>
      <c r="F6" s="6" t="str">
        <f t="shared" ref="F6:F13" si="0">LEFT(E6,3)</f>
        <v>Bur</v>
      </c>
    </row>
    <row r="7" spans="3:12" ht="18.75" customHeight="1" x14ac:dyDescent="0.25">
      <c r="C7" s="6" t="s">
        <v>40</v>
      </c>
      <c r="D7" s="6" t="s">
        <v>43</v>
      </c>
      <c r="E7" s="6" t="s">
        <v>49</v>
      </c>
      <c r="F7" s="6" t="str">
        <f t="shared" si="0"/>
        <v>Cha</v>
      </c>
      <c r="H7" s="22" t="s">
        <v>72</v>
      </c>
      <c r="I7" s="22"/>
      <c r="J7" s="22"/>
      <c r="K7" s="22"/>
      <c r="L7" s="22"/>
    </row>
    <row r="8" spans="3:12" ht="18.75" x14ac:dyDescent="0.25">
      <c r="C8" s="6" t="s">
        <v>41</v>
      </c>
      <c r="D8" s="6" t="s">
        <v>43</v>
      </c>
      <c r="E8" s="6" t="s">
        <v>50</v>
      </c>
      <c r="F8" s="6" t="str">
        <f t="shared" si="0"/>
        <v>H&amp;M</v>
      </c>
      <c r="H8" s="22"/>
      <c r="I8" s="22"/>
      <c r="J8" s="22"/>
      <c r="K8" s="22"/>
      <c r="L8" s="22"/>
    </row>
    <row r="9" spans="3:12" ht="18.75" x14ac:dyDescent="0.25">
      <c r="C9" s="6" t="s">
        <v>40</v>
      </c>
      <c r="D9" s="6" t="s">
        <v>44</v>
      </c>
      <c r="E9" s="6" t="s">
        <v>52</v>
      </c>
      <c r="F9" s="6" t="str">
        <f t="shared" si="0"/>
        <v>Ral</v>
      </c>
    </row>
    <row r="10" spans="3:12" ht="18.75" x14ac:dyDescent="0.25">
      <c r="C10" s="6" t="s">
        <v>41</v>
      </c>
      <c r="D10" s="6" t="s">
        <v>44</v>
      </c>
      <c r="E10" s="6" t="s">
        <v>54</v>
      </c>
      <c r="F10" s="6" t="str">
        <f t="shared" si="0"/>
        <v>Lev</v>
      </c>
    </row>
    <row r="11" spans="3:12" ht="18.75" x14ac:dyDescent="0.25">
      <c r="C11" s="6" t="s">
        <v>40</v>
      </c>
      <c r="D11" s="6" t="s">
        <v>42</v>
      </c>
      <c r="E11" s="6" t="s">
        <v>53</v>
      </c>
      <c r="F11" s="6" t="str">
        <f t="shared" si="0"/>
        <v>Ome</v>
      </c>
    </row>
    <row r="12" spans="3:12" ht="18.75" x14ac:dyDescent="0.25">
      <c r="C12" s="6" t="s">
        <v>41</v>
      </c>
      <c r="D12" s="6" t="s">
        <v>43</v>
      </c>
      <c r="E12" s="6" t="s">
        <v>56</v>
      </c>
      <c r="F12" s="6" t="str">
        <f t="shared" si="0"/>
        <v>Und</v>
      </c>
    </row>
    <row r="13" spans="3:12" ht="18.75" x14ac:dyDescent="0.25">
      <c r="C13" s="6" t="s">
        <v>41</v>
      </c>
      <c r="D13" s="6" t="s">
        <v>44</v>
      </c>
      <c r="E13" s="6" t="s">
        <v>55</v>
      </c>
      <c r="F13" s="6" t="str">
        <f t="shared" si="0"/>
        <v>Mic</v>
      </c>
    </row>
    <row r="19" spans="3:12" ht="18.75" x14ac:dyDescent="0.3">
      <c r="C19" s="10" t="s">
        <v>46</v>
      </c>
      <c r="D19" s="10" t="s">
        <v>45</v>
      </c>
      <c r="E19" s="10" t="s">
        <v>47</v>
      </c>
      <c r="F19" s="10" t="s">
        <v>57</v>
      </c>
    </row>
    <row r="20" spans="3:12" ht="18.75" x14ac:dyDescent="0.25">
      <c r="C20" s="6" t="s">
        <v>40</v>
      </c>
      <c r="D20" s="6" t="s">
        <v>42</v>
      </c>
      <c r="E20" s="6" t="s">
        <v>48</v>
      </c>
      <c r="F20" s="6" t="str">
        <f>RIGHT(E20,3)</f>
        <v>ton</v>
      </c>
    </row>
    <row r="21" spans="3:12" ht="18.75" x14ac:dyDescent="0.25">
      <c r="C21" s="6" t="s">
        <v>41</v>
      </c>
      <c r="D21" s="6" t="s">
        <v>42</v>
      </c>
      <c r="E21" s="6" t="s">
        <v>51</v>
      </c>
      <c r="F21" s="6" t="str">
        <f t="shared" ref="F21:F28" si="1">RIGHT(E21,3)</f>
        <v>rry</v>
      </c>
    </row>
    <row r="22" spans="3:12" ht="18.75" customHeight="1" x14ac:dyDescent="0.25">
      <c r="C22" s="6" t="s">
        <v>40</v>
      </c>
      <c r="D22" s="6" t="s">
        <v>43</v>
      </c>
      <c r="E22" s="6" t="s">
        <v>49</v>
      </c>
      <c r="F22" s="6" t="str">
        <f t="shared" si="1"/>
        <v>nel</v>
      </c>
      <c r="H22" s="22" t="s">
        <v>71</v>
      </c>
      <c r="I22" s="22"/>
      <c r="J22" s="22"/>
      <c r="K22" s="22"/>
      <c r="L22" s="22"/>
    </row>
    <row r="23" spans="3:12" ht="18.75" x14ac:dyDescent="0.25">
      <c r="C23" s="6" t="s">
        <v>41</v>
      </c>
      <c r="D23" s="6" t="s">
        <v>43</v>
      </c>
      <c r="E23" s="6" t="s">
        <v>50</v>
      </c>
      <c r="F23" s="6" t="str">
        <f t="shared" si="1"/>
        <v>H&amp;M</v>
      </c>
      <c r="H23" s="22"/>
      <c r="I23" s="22"/>
      <c r="J23" s="22"/>
      <c r="K23" s="22"/>
      <c r="L23" s="22"/>
    </row>
    <row r="24" spans="3:12" ht="18.75" x14ac:dyDescent="0.25">
      <c r="C24" s="6" t="s">
        <v>40</v>
      </c>
      <c r="D24" s="6" t="s">
        <v>44</v>
      </c>
      <c r="E24" s="6" t="s">
        <v>52</v>
      </c>
      <c r="F24" s="6" t="str">
        <f t="shared" si="1"/>
        <v>ren</v>
      </c>
    </row>
    <row r="25" spans="3:12" ht="18.75" x14ac:dyDescent="0.25">
      <c r="C25" s="6" t="s">
        <v>41</v>
      </c>
      <c r="D25" s="6" t="s">
        <v>44</v>
      </c>
      <c r="E25" s="6" t="s">
        <v>54</v>
      </c>
      <c r="F25" s="6" t="str">
        <f t="shared" si="1"/>
        <v>i's</v>
      </c>
    </row>
    <row r="26" spans="3:12" ht="18.75" x14ac:dyDescent="0.25">
      <c r="C26" s="6" t="s">
        <v>40</v>
      </c>
      <c r="D26" s="6" t="s">
        <v>42</v>
      </c>
      <c r="E26" s="6" t="s">
        <v>53</v>
      </c>
      <c r="F26" s="6" t="str">
        <f t="shared" si="1"/>
        <v>ega</v>
      </c>
    </row>
    <row r="27" spans="3:12" ht="18.75" x14ac:dyDescent="0.25">
      <c r="C27" s="6" t="s">
        <v>41</v>
      </c>
      <c r="D27" s="6" t="s">
        <v>43</v>
      </c>
      <c r="E27" s="6" t="s">
        <v>56</v>
      </c>
      <c r="F27" s="6" t="str">
        <f t="shared" si="1"/>
        <v>our</v>
      </c>
    </row>
    <row r="28" spans="3:12" ht="18.75" x14ac:dyDescent="0.25">
      <c r="C28" s="6" t="s">
        <v>41</v>
      </c>
      <c r="D28" s="6" t="s">
        <v>44</v>
      </c>
      <c r="E28" s="6" t="s">
        <v>55</v>
      </c>
      <c r="F28" s="6" t="str">
        <f t="shared" si="1"/>
        <v>ors</v>
      </c>
    </row>
    <row r="34" spans="3:12" ht="18.75" x14ac:dyDescent="0.3">
      <c r="C34" s="10" t="s">
        <v>46</v>
      </c>
      <c r="D34" s="10" t="s">
        <v>45</v>
      </c>
      <c r="E34" s="10" t="s">
        <v>47</v>
      </c>
      <c r="F34" s="10" t="s">
        <v>57</v>
      </c>
    </row>
    <row r="35" spans="3:12" ht="18.75" x14ac:dyDescent="0.25">
      <c r="C35" s="6" t="s">
        <v>40</v>
      </c>
      <c r="D35" s="6" t="s">
        <v>42</v>
      </c>
      <c r="E35" s="6" t="s">
        <v>48</v>
      </c>
      <c r="F35" s="6" t="str">
        <f>MID(E35,3,3)</f>
        <v>uis</v>
      </c>
    </row>
    <row r="36" spans="3:12" ht="18.75" x14ac:dyDescent="0.25">
      <c r="C36" s="6" t="s">
        <v>41</v>
      </c>
      <c r="D36" s="6" t="s">
        <v>42</v>
      </c>
      <c r="E36" s="6" t="s">
        <v>51</v>
      </c>
      <c r="F36" s="6" t="str">
        <f t="shared" ref="F36:F43" si="2">MID(E36,3,3)</f>
        <v>rbe</v>
      </c>
    </row>
    <row r="37" spans="3:12" ht="18.75" customHeight="1" x14ac:dyDescent="0.25">
      <c r="C37" s="6" t="s">
        <v>40</v>
      </c>
      <c r="D37" s="6" t="s">
        <v>43</v>
      </c>
      <c r="E37" s="6" t="s">
        <v>49</v>
      </c>
      <c r="F37" s="6" t="str">
        <f t="shared" si="2"/>
        <v>ane</v>
      </c>
      <c r="H37" s="22" t="s">
        <v>70</v>
      </c>
      <c r="I37" s="22"/>
      <c r="J37" s="22"/>
      <c r="K37" s="22"/>
      <c r="L37" s="22"/>
    </row>
    <row r="38" spans="3:12" ht="18.75" x14ac:dyDescent="0.25">
      <c r="C38" s="6" t="s">
        <v>41</v>
      </c>
      <c r="D38" s="6" t="s">
        <v>43</v>
      </c>
      <c r="E38" s="6" t="s">
        <v>50</v>
      </c>
      <c r="F38" s="6" t="str">
        <f t="shared" si="2"/>
        <v>M</v>
      </c>
      <c r="H38" s="22"/>
      <c r="I38" s="22"/>
      <c r="J38" s="22"/>
      <c r="K38" s="22"/>
      <c r="L38" s="22"/>
    </row>
    <row r="39" spans="3:12" ht="18.75" x14ac:dyDescent="0.25">
      <c r="C39" s="6" t="s">
        <v>40</v>
      </c>
      <c r="D39" s="6" t="s">
        <v>44</v>
      </c>
      <c r="E39" s="6" t="s">
        <v>52</v>
      </c>
      <c r="F39" s="6" t="str">
        <f t="shared" si="2"/>
        <v>lph</v>
      </c>
    </row>
    <row r="40" spans="3:12" ht="18.75" x14ac:dyDescent="0.25">
      <c r="C40" s="6" t="s">
        <v>41</v>
      </c>
      <c r="D40" s="6" t="s">
        <v>44</v>
      </c>
      <c r="E40" s="6" t="s">
        <v>54</v>
      </c>
      <c r="F40" s="6" t="str">
        <f t="shared" si="2"/>
        <v>vi'</v>
      </c>
    </row>
    <row r="41" spans="3:12" ht="18.75" x14ac:dyDescent="0.25">
      <c r="C41" s="6" t="s">
        <v>40</v>
      </c>
      <c r="D41" s="6" t="s">
        <v>42</v>
      </c>
      <c r="E41" s="6" t="s">
        <v>53</v>
      </c>
      <c r="F41" s="6" t="str">
        <f t="shared" si="2"/>
        <v>ega</v>
      </c>
    </row>
    <row r="42" spans="3:12" ht="18.75" x14ac:dyDescent="0.25">
      <c r="C42" s="6" t="s">
        <v>41</v>
      </c>
      <c r="D42" s="6" t="s">
        <v>43</v>
      </c>
      <c r="E42" s="6" t="s">
        <v>56</v>
      </c>
      <c r="F42" s="6" t="str">
        <f t="shared" si="2"/>
        <v>der</v>
      </c>
    </row>
    <row r="43" spans="3:12" ht="18.75" x14ac:dyDescent="0.25">
      <c r="C43" s="6" t="s">
        <v>41</v>
      </c>
      <c r="D43" s="6" t="s">
        <v>44</v>
      </c>
      <c r="E43" s="6" t="s">
        <v>55</v>
      </c>
      <c r="F43" s="6" t="str">
        <f t="shared" si="2"/>
        <v>cha</v>
      </c>
    </row>
  </sheetData>
  <customSheetViews>
    <customSheetView guid="{4725FB26-BADE-478E-8CB6-C0172942A9EE}" scale="120" showGridLines="0" topLeftCell="A30">
      <selection activeCell="F35" sqref="F35"/>
      <pageMargins left="0.7" right="0.7" top="0.75" bottom="0.75" header="0.3" footer="0.3"/>
      <pageSetup orientation="portrait" r:id="rId1"/>
    </customSheetView>
    <customSheetView guid="{5B82F60B-B869-45D3-9A7D-2B843E789197}" scale="120" showGridLines="0" topLeftCell="A30">
      <selection activeCell="F35" sqref="F35"/>
      <pageMargins left="0.7" right="0.7" top="0.75" bottom="0.75" header="0.3" footer="0.3"/>
      <pageSetup orientation="portrait" r:id="rId2"/>
    </customSheetView>
    <customSheetView guid="{73745901-4C3A-49DD-83C4-0AEBB167DB63}" scale="120" showGridLines="0" topLeftCell="A30">
      <selection activeCell="F35" sqref="F35"/>
      <pageMargins left="0.7" right="0.7" top="0.75" bottom="0.75" header="0.3" footer="0.3"/>
      <pageSetup orientation="portrait" r:id="rId3"/>
    </customSheetView>
    <customSheetView guid="{AE37E6D9-7485-4A75-9115-FDBD1A6E08D0}" scale="120" showGridLines="0" topLeftCell="A30">
      <selection activeCell="F35" sqref="F35"/>
      <pageMargins left="0.7" right="0.7" top="0.75" bottom="0.75" header="0.3" footer="0.3"/>
      <pageSetup orientation="portrait" r:id="rId4"/>
    </customSheetView>
    <customSheetView guid="{28C5C254-2672-4A7F-9398-2FA6F99EE3FF}" scale="120" showGridLines="0" topLeftCell="A30">
      <selection activeCell="F35" sqref="F35"/>
      <pageMargins left="0.7" right="0.7" top="0.75" bottom="0.75" header="0.3" footer="0.3"/>
      <pageSetup orientation="portrait" r:id="rId5"/>
    </customSheetView>
    <customSheetView guid="{9967D63C-4135-4BF7-A83B-0EC0A28A8504}" scale="120" showGridLines="0" topLeftCell="A30">
      <selection activeCell="F35" sqref="F35"/>
      <pageMargins left="0.7" right="0.7" top="0.75" bottom="0.75" header="0.3" footer="0.3"/>
      <pageSetup orientation="portrait" r:id="rId6"/>
    </customSheetView>
    <customSheetView guid="{8DC39A41-9961-4A5C-8659-B8A82A01A470}" scale="120" showGridLines="0" topLeftCell="A30">
      <selection activeCell="F35" sqref="F35"/>
      <pageMargins left="0.7" right="0.7" top="0.75" bottom="0.75" header="0.3" footer="0.3"/>
      <pageSetup orientation="portrait" r:id="rId7"/>
    </customSheetView>
    <customSheetView guid="{06F040C9-291C-44DD-A11A-B2BAF2078CA1}" scale="120" showGridLines="0" topLeftCell="A16">
      <selection activeCell="F20" sqref="F20"/>
      <pageMargins left="0.7" right="0.7" top="0.75" bottom="0.75" header="0.3" footer="0.3"/>
      <pageSetup orientation="portrait" r:id="rId8"/>
    </customSheetView>
    <customSheetView guid="{AC1AC0BB-7D81-4427-80BF-DB36D3CC12C1}" scale="120" showGridLines="0">
      <selection activeCell="F5" sqref="F5"/>
      <pageMargins left="0.7" right="0.7" top="0.75" bottom="0.75" header="0.3" footer="0.3"/>
      <pageSetup orientation="portrait" r:id="rId9"/>
    </customSheetView>
    <customSheetView guid="{31F90F3E-FB31-437F-ADCE-44D58804C41D}" scale="120" showGridLines="0">
      <selection activeCell="C5" sqref="C5"/>
      <pageMargins left="0.7" right="0.7" top="0.75" bottom="0.75" header="0.3" footer="0.3"/>
      <pageSetup orientation="portrait" r:id="rId10"/>
    </customSheetView>
    <customSheetView guid="{57F7A421-8FD3-4470-813D-526D207C0AED}" scale="120" showGridLines="0">
      <selection activeCell="C5" sqref="C5"/>
      <pageMargins left="0.7" right="0.7" top="0.75" bottom="0.75" header="0.3" footer="0.3"/>
      <pageSetup orientation="portrait" r:id="rId11"/>
    </customSheetView>
    <customSheetView guid="{E065FC95-9F37-4AD0-A6AF-202A080459EB}" scale="120" showGridLines="0">
      <selection activeCell="C5" sqref="C5"/>
      <pageMargins left="0.7" right="0.7" top="0.75" bottom="0.75" header="0.3" footer="0.3"/>
      <pageSetup orientation="portrait" r:id="rId12"/>
    </customSheetView>
    <customSheetView guid="{A979108F-FF23-4967-8663-1A0C9618D854}" scale="120" showGridLines="0">
      <selection activeCell="C5" sqref="C5"/>
      <pageMargins left="0.7" right="0.7" top="0.75" bottom="0.75" header="0.3" footer="0.3"/>
      <pageSetup orientation="portrait" r:id="rId13"/>
    </customSheetView>
    <customSheetView guid="{AD9596A8-734D-48AD-8922-A58933E39AB8}" scale="120" showGridLines="0">
      <selection activeCell="C5" sqref="C5"/>
      <pageMargins left="0.7" right="0.7" top="0.75" bottom="0.75" header="0.3" footer="0.3"/>
      <pageSetup orientation="portrait" r:id="rId14"/>
    </customSheetView>
    <customSheetView guid="{DFB07116-697D-42FF-ACBD-E8FE92938B16}" scale="120" showGridLines="0">
      <selection activeCell="C5" sqref="C5"/>
      <pageMargins left="0.7" right="0.7" top="0.75" bottom="0.75" header="0.3" footer="0.3"/>
      <pageSetup orientation="portrait" r:id="rId15"/>
    </customSheetView>
  </customSheetViews>
  <mergeCells count="3">
    <mergeCell ref="H7:L8"/>
    <mergeCell ref="H22:L23"/>
    <mergeCell ref="H37:L38"/>
  </mergeCells>
  <pageMargins left="0.7" right="0.7" top="0.75" bottom="0.75" header="0.3" footer="0.3"/>
  <pageSetup orientation="portrait" r:id="rId16"/>
  <drawing r:id="rId17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4:J18"/>
  <sheetViews>
    <sheetView showGridLines="0" topLeftCell="C1" zoomScale="120" zoomScaleNormal="120" workbookViewId="0">
      <selection activeCell="I2" sqref="I2"/>
    </sheetView>
  </sheetViews>
  <sheetFormatPr defaultRowHeight="15" x14ac:dyDescent="0.25"/>
  <cols>
    <col min="4" max="4" width="10.5703125" bestFit="1" customWidth="1"/>
    <col min="5" max="5" width="13.5703125" bestFit="1" customWidth="1"/>
    <col min="6" max="6" width="12.42578125" bestFit="1" customWidth="1"/>
    <col min="7" max="7" width="17.5703125" bestFit="1" customWidth="1"/>
    <col min="8" max="8" width="37.85546875" bestFit="1" customWidth="1"/>
    <col min="9" max="9" width="42.140625" bestFit="1" customWidth="1"/>
  </cols>
  <sheetData>
    <row r="4" spans="4:10" ht="18.75" x14ac:dyDescent="0.3">
      <c r="D4" s="10" t="s">
        <v>91</v>
      </c>
      <c r="E4" s="10" t="s">
        <v>46</v>
      </c>
      <c r="F4" s="10" t="s">
        <v>45</v>
      </c>
      <c r="G4" s="10" t="s">
        <v>47</v>
      </c>
      <c r="H4" s="10" t="s">
        <v>86</v>
      </c>
      <c r="I4" s="10" t="s">
        <v>98</v>
      </c>
    </row>
    <row r="5" spans="4:10" ht="18.75" x14ac:dyDescent="0.25">
      <c r="D5" t="s">
        <v>92</v>
      </c>
      <c r="E5" s="6" t="s">
        <v>40</v>
      </c>
      <c r="F5" s="6" t="s">
        <v>42</v>
      </c>
      <c r="G5" s="6" t="s">
        <v>48</v>
      </c>
      <c r="H5" s="18" t="s">
        <v>87</v>
      </c>
    </row>
    <row r="6" spans="4:10" ht="18.75" x14ac:dyDescent="0.25">
      <c r="D6" t="s">
        <v>93</v>
      </c>
      <c r="E6" s="6" t="s">
        <v>41</v>
      </c>
      <c r="F6" s="6" t="s">
        <v>42</v>
      </c>
      <c r="G6" s="6" t="s">
        <v>51</v>
      </c>
      <c r="H6" s="18" t="s">
        <v>88</v>
      </c>
    </row>
    <row r="7" spans="4:10" ht="18.75" x14ac:dyDescent="0.25">
      <c r="D7" t="s">
        <v>94</v>
      </c>
      <c r="E7" s="6" t="s">
        <v>40</v>
      </c>
      <c r="F7" s="6" t="s">
        <v>43</v>
      </c>
      <c r="G7" s="6" t="s">
        <v>49</v>
      </c>
      <c r="H7" s="18" t="s">
        <v>97</v>
      </c>
    </row>
    <row r="8" spans="4:10" ht="18.75" x14ac:dyDescent="0.25">
      <c r="D8" t="s">
        <v>95</v>
      </c>
      <c r="E8" s="6" t="s">
        <v>41</v>
      </c>
      <c r="F8" s="6" t="s">
        <v>43</v>
      </c>
      <c r="G8" s="6" t="s">
        <v>50</v>
      </c>
      <c r="H8" s="18" t="s">
        <v>89</v>
      </c>
    </row>
    <row r="9" spans="4:10" ht="18.75" x14ac:dyDescent="0.25">
      <c r="D9" t="s">
        <v>96</v>
      </c>
      <c r="E9" s="6" t="s">
        <v>40</v>
      </c>
      <c r="F9" s="6" t="s">
        <v>44</v>
      </c>
      <c r="G9" s="6" t="s">
        <v>52</v>
      </c>
      <c r="H9" s="18" t="s">
        <v>90</v>
      </c>
    </row>
    <row r="10" spans="4:10" ht="18.75" x14ac:dyDescent="0.25">
      <c r="E10" s="6"/>
      <c r="F10" s="6"/>
      <c r="G10" s="6"/>
      <c r="H10" s="6"/>
    </row>
    <row r="11" spans="4:10" ht="18.75" x14ac:dyDescent="0.25">
      <c r="E11" s="6"/>
      <c r="F11" s="6"/>
      <c r="G11" s="6"/>
      <c r="H11" s="6"/>
    </row>
    <row r="12" spans="4:10" ht="18.75" x14ac:dyDescent="0.25">
      <c r="E12" s="6"/>
      <c r="F12" s="6"/>
      <c r="G12" s="6"/>
      <c r="H12" s="6"/>
    </row>
    <row r="13" spans="4:10" ht="18.75" x14ac:dyDescent="0.3">
      <c r="D13" s="10" t="s">
        <v>91</v>
      </c>
      <c r="E13" s="10" t="s">
        <v>46</v>
      </c>
      <c r="F13" s="10" t="s">
        <v>45</v>
      </c>
      <c r="G13" s="10" t="s">
        <v>47</v>
      </c>
      <c r="H13" s="10" t="s">
        <v>86</v>
      </c>
      <c r="I13" s="10" t="s">
        <v>98</v>
      </c>
    </row>
    <row r="14" spans="4:10" ht="18.75" x14ac:dyDescent="0.25">
      <c r="D14" t="s">
        <v>92</v>
      </c>
      <c r="E14" s="6" t="s">
        <v>40</v>
      </c>
      <c r="F14" s="6" t="s">
        <v>42</v>
      </c>
      <c r="G14" s="6" t="s">
        <v>48</v>
      </c>
      <c r="H14" s="18" t="s">
        <v>87</v>
      </c>
      <c r="I14" t="str">
        <f>REPLACE(H14,J14,1,"Small")</f>
        <v>His Shirt size is Small of Louis Vuitton</v>
      </c>
      <c r="J14" s="14">
        <v>19</v>
      </c>
    </row>
    <row r="15" spans="4:10" ht="18.75" x14ac:dyDescent="0.25">
      <c r="D15" t="s">
        <v>93</v>
      </c>
      <c r="E15" s="6" t="s">
        <v>41</v>
      </c>
      <c r="F15" s="6" t="s">
        <v>42</v>
      </c>
      <c r="G15" s="6" t="s">
        <v>51</v>
      </c>
      <c r="H15" s="18" t="s">
        <v>88</v>
      </c>
    </row>
    <row r="16" spans="4:10" ht="18.75" x14ac:dyDescent="0.25">
      <c r="D16" t="s">
        <v>94</v>
      </c>
      <c r="E16" s="6" t="s">
        <v>40</v>
      </c>
      <c r="F16" s="6" t="s">
        <v>43</v>
      </c>
      <c r="G16" s="6" t="s">
        <v>49</v>
      </c>
      <c r="H16" s="18" t="s">
        <v>97</v>
      </c>
    </row>
    <row r="17" spans="4:8" ht="18.75" x14ac:dyDescent="0.25">
      <c r="D17" t="s">
        <v>95</v>
      </c>
      <c r="E17" s="6" t="s">
        <v>41</v>
      </c>
      <c r="F17" s="6" t="s">
        <v>43</v>
      </c>
      <c r="G17" s="6" t="s">
        <v>50</v>
      </c>
      <c r="H17" s="18" t="s">
        <v>89</v>
      </c>
    </row>
    <row r="18" spans="4:8" ht="18.75" x14ac:dyDescent="0.25">
      <c r="D18" t="s">
        <v>96</v>
      </c>
      <c r="E18" s="6" t="s">
        <v>40</v>
      </c>
      <c r="F18" s="6" t="s">
        <v>44</v>
      </c>
      <c r="G18" s="6" t="s">
        <v>52</v>
      </c>
      <c r="H18" s="18" t="s">
        <v>90</v>
      </c>
    </row>
  </sheetData>
  <customSheetViews>
    <customSheetView guid="{4725FB26-BADE-478E-8CB6-C0172942A9EE}" scale="120" showGridLines="0" state="hidden" topLeftCell="C1">
      <selection activeCell="I2" sqref="I2"/>
      <pageMargins left="0.7" right="0.7" top="0.75" bottom="0.75" header="0.3" footer="0.3"/>
    </customSheetView>
    <customSheetView guid="{5B82F60B-B869-45D3-9A7D-2B843E789197}" scale="120" showGridLines="0" state="hidden" topLeftCell="C1">
      <selection activeCell="I2" sqref="I2"/>
      <pageMargins left="0.7" right="0.7" top="0.75" bottom="0.75" header="0.3" footer="0.3"/>
    </customSheetView>
    <customSheetView guid="{73745901-4C3A-49DD-83C4-0AEBB167DB63}" scale="120" showGridLines="0" state="hidden" topLeftCell="C1">
      <selection activeCell="I2" sqref="I2"/>
      <pageMargins left="0.7" right="0.7" top="0.75" bottom="0.75" header="0.3" footer="0.3"/>
    </customSheetView>
    <customSheetView guid="{AE37E6D9-7485-4A75-9115-FDBD1A6E08D0}" scale="120" showGridLines="0" state="hidden" topLeftCell="C1">
      <selection activeCell="I2" sqref="I2"/>
      <pageMargins left="0.7" right="0.7" top="0.75" bottom="0.75" header="0.3" footer="0.3"/>
    </customSheetView>
    <customSheetView guid="{28C5C254-2672-4A7F-9398-2FA6F99EE3FF}" scale="120" showGridLines="0" state="hidden" topLeftCell="C1">
      <selection activeCell="I2" sqref="I2"/>
      <pageMargins left="0.7" right="0.7" top="0.75" bottom="0.75" header="0.3" footer="0.3"/>
    </customSheetView>
    <customSheetView guid="{9967D63C-4135-4BF7-A83B-0EC0A28A8504}" scale="120" showGridLines="0" state="hidden" topLeftCell="C1">
      <selection activeCell="I2" sqref="I2"/>
      <pageMargins left="0.7" right="0.7" top="0.75" bottom="0.75" header="0.3" footer="0.3"/>
    </customSheetView>
    <customSheetView guid="{8DC39A41-9961-4A5C-8659-B8A82A01A470}" scale="120" showGridLines="0" state="hidden" topLeftCell="C1">
      <selection activeCell="I2" sqref="I2"/>
      <pageMargins left="0.7" right="0.7" top="0.75" bottom="0.75" header="0.3" footer="0.3"/>
    </customSheetView>
    <customSheetView guid="{06F040C9-291C-44DD-A11A-B2BAF2078CA1}" scale="120" showGridLines="0" state="hidden" topLeftCell="C1">
      <selection activeCell="I2" sqref="I2"/>
      <pageMargins left="0.7" right="0.7" top="0.75" bottom="0.75" header="0.3" footer="0.3"/>
    </customSheetView>
    <customSheetView guid="{AC1AC0BB-7D81-4427-80BF-DB36D3CC12C1}" scale="120" showGridLines="0" state="hidden" topLeftCell="C1">
      <selection activeCell="I2" sqref="I2"/>
      <pageMargins left="0.7" right="0.7" top="0.75" bottom="0.75" header="0.3" footer="0.3"/>
    </customSheetView>
    <customSheetView guid="{31F90F3E-FB31-437F-ADCE-44D58804C41D}" scale="120" showGridLines="0" state="hidden" topLeftCell="C1">
      <selection activeCell="I2" sqref="I2"/>
      <pageMargins left="0.7" right="0.7" top="0.75" bottom="0.75" header="0.3" footer="0.3"/>
    </customSheetView>
    <customSheetView guid="{57F7A421-8FD3-4470-813D-526D207C0AED}" scale="120" showGridLines="0" state="hidden" topLeftCell="C1">
      <selection activeCell="I2" sqref="I2"/>
      <pageMargins left="0.7" right="0.7" top="0.75" bottom="0.75" header="0.3" footer="0.3"/>
    </customSheetView>
    <customSheetView guid="{E065FC95-9F37-4AD0-A6AF-202A080459EB}" scale="120" showGridLines="0" state="hidden" topLeftCell="C1">
      <selection activeCell="I2" sqref="I2"/>
      <pageMargins left="0.7" right="0.7" top="0.75" bottom="0.75" header="0.3" footer="0.3"/>
    </customSheetView>
    <customSheetView guid="{A979108F-FF23-4967-8663-1A0C9618D854}" scale="120" showGridLines="0" state="hidden" topLeftCell="C1">
      <selection activeCell="I2" sqref="I2"/>
      <pageMargins left="0.7" right="0.7" top="0.75" bottom="0.75" header="0.3" footer="0.3"/>
    </customSheetView>
    <customSheetView guid="{AD9596A8-734D-48AD-8922-A58933E39AB8}" scale="120" showGridLines="0" state="hidden" topLeftCell="C1">
      <selection activeCell="I2" sqref="I2"/>
      <pageMargins left="0.7" right="0.7" top="0.75" bottom="0.75" header="0.3" footer="0.3"/>
    </customSheetView>
    <customSheetView guid="{DFB07116-697D-42FF-ACBD-E8FE92938B16}" scale="120" showGridLines="0" state="hidden" topLeftCell="C1">
      <selection activeCell="I2" sqref="I2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4:H80"/>
  <sheetViews>
    <sheetView showGridLines="0" topLeftCell="B1" zoomScale="130" zoomScaleNormal="130" workbookViewId="0">
      <selection activeCell="D6" sqref="D6"/>
    </sheetView>
  </sheetViews>
  <sheetFormatPr defaultRowHeight="15" x14ac:dyDescent="0.25"/>
  <cols>
    <col min="3" max="3" width="13.5703125" bestFit="1" customWidth="1"/>
    <col min="4" max="4" width="12.42578125" bestFit="1" customWidth="1"/>
    <col min="5" max="5" width="17.5703125" bestFit="1" customWidth="1"/>
    <col min="6" max="6" width="26.28515625" bestFit="1" customWidth="1"/>
    <col min="7" max="7" width="13.28515625" customWidth="1"/>
    <col min="8" max="8" width="32.42578125" bestFit="1" customWidth="1"/>
  </cols>
  <sheetData>
    <row r="4" spans="3:8" ht="18.75" x14ac:dyDescent="0.3">
      <c r="C4" s="10" t="s">
        <v>46</v>
      </c>
      <c r="D4" s="10" t="s">
        <v>45</v>
      </c>
      <c r="E4" s="10" t="s">
        <v>47</v>
      </c>
      <c r="F4" s="10" t="s">
        <v>99</v>
      </c>
      <c r="G4" s="10" t="s">
        <v>100</v>
      </c>
      <c r="H4" s="10" t="s">
        <v>101</v>
      </c>
    </row>
    <row r="5" spans="3:8" ht="18.75" x14ac:dyDescent="0.25">
      <c r="C5" s="6" t="s">
        <v>40</v>
      </c>
      <c r="D5" s="6" t="s">
        <v>42</v>
      </c>
      <c r="E5" s="6" t="s">
        <v>48</v>
      </c>
      <c r="F5" s="19">
        <v>44846</v>
      </c>
      <c r="G5" s="19">
        <f ca="1">TODAY()</f>
        <v>45089</v>
      </c>
      <c r="H5" s="14"/>
    </row>
    <row r="6" spans="3:8" ht="18.75" x14ac:dyDescent="0.25">
      <c r="C6" s="6" t="s">
        <v>41</v>
      </c>
      <c r="D6" s="6" t="s">
        <v>42</v>
      </c>
      <c r="E6" s="6" t="s">
        <v>51</v>
      </c>
      <c r="F6" s="19">
        <v>44331</v>
      </c>
      <c r="G6" s="19">
        <f t="shared" ref="G6:G13" ca="1" si="0">TODAY()</f>
        <v>45089</v>
      </c>
      <c r="H6" s="14"/>
    </row>
    <row r="7" spans="3:8" ht="18.75" x14ac:dyDescent="0.25">
      <c r="C7" s="6" t="s">
        <v>40</v>
      </c>
      <c r="D7" s="6" t="s">
        <v>43</v>
      </c>
      <c r="E7" s="6" t="s">
        <v>49</v>
      </c>
      <c r="F7" s="19">
        <v>40188</v>
      </c>
      <c r="G7" s="19">
        <f t="shared" ca="1" si="0"/>
        <v>45089</v>
      </c>
      <c r="H7" s="14"/>
    </row>
    <row r="8" spans="3:8" ht="18.75" x14ac:dyDescent="0.25">
      <c r="C8" s="6" t="s">
        <v>41</v>
      </c>
      <c r="D8" s="6" t="s">
        <v>43</v>
      </c>
      <c r="E8" s="6" t="s">
        <v>50</v>
      </c>
      <c r="F8" s="19">
        <v>44860</v>
      </c>
      <c r="G8" s="19">
        <f t="shared" ca="1" si="0"/>
        <v>45089</v>
      </c>
      <c r="H8" s="14"/>
    </row>
    <row r="9" spans="3:8" ht="18.75" x14ac:dyDescent="0.25">
      <c r="C9" s="6" t="s">
        <v>40</v>
      </c>
      <c r="D9" s="6" t="s">
        <v>44</v>
      </c>
      <c r="E9" s="6" t="s">
        <v>52</v>
      </c>
      <c r="F9" s="19">
        <v>44512</v>
      </c>
      <c r="G9" s="19">
        <f t="shared" ca="1" si="0"/>
        <v>45089</v>
      </c>
      <c r="H9" s="14"/>
    </row>
    <row r="10" spans="3:8" ht="18.75" x14ac:dyDescent="0.25">
      <c r="C10" s="6" t="s">
        <v>41</v>
      </c>
      <c r="D10" s="6" t="s">
        <v>44</v>
      </c>
      <c r="E10" s="6" t="s">
        <v>54</v>
      </c>
      <c r="F10" s="19">
        <v>44592</v>
      </c>
      <c r="G10" s="19">
        <f t="shared" ca="1" si="0"/>
        <v>45089</v>
      </c>
      <c r="H10" s="14"/>
    </row>
    <row r="11" spans="3:8" ht="18.75" x14ac:dyDescent="0.25">
      <c r="C11" s="6" t="s">
        <v>40</v>
      </c>
      <c r="D11" s="6" t="s">
        <v>42</v>
      </c>
      <c r="E11" s="6" t="s">
        <v>53</v>
      </c>
      <c r="F11" s="19">
        <v>44560</v>
      </c>
      <c r="G11" s="19">
        <f t="shared" ca="1" si="0"/>
        <v>45089</v>
      </c>
      <c r="H11" s="14"/>
    </row>
    <row r="12" spans="3:8" ht="18.75" x14ac:dyDescent="0.25">
      <c r="C12" s="6" t="s">
        <v>41</v>
      </c>
      <c r="D12" s="6" t="s">
        <v>43</v>
      </c>
      <c r="E12" s="6" t="s">
        <v>56</v>
      </c>
      <c r="F12" s="19">
        <v>44566</v>
      </c>
      <c r="G12" s="19">
        <f t="shared" ca="1" si="0"/>
        <v>45089</v>
      </c>
      <c r="H12" s="14"/>
    </row>
    <row r="13" spans="3:8" ht="18.75" x14ac:dyDescent="0.25">
      <c r="C13" s="6" t="s">
        <v>41</v>
      </c>
      <c r="D13" s="6" t="s">
        <v>44</v>
      </c>
      <c r="E13" s="6" t="s">
        <v>55</v>
      </c>
      <c r="F13" s="19">
        <v>43267</v>
      </c>
      <c r="G13" s="19">
        <f t="shared" ca="1" si="0"/>
        <v>45089</v>
      </c>
      <c r="H13" s="14"/>
    </row>
    <row r="24" spans="3:6" ht="18.75" x14ac:dyDescent="0.3">
      <c r="C24" s="10" t="s">
        <v>46</v>
      </c>
      <c r="D24" s="10" t="s">
        <v>45</v>
      </c>
      <c r="E24" s="10" t="s">
        <v>47</v>
      </c>
      <c r="F24" s="10" t="s">
        <v>99</v>
      </c>
    </row>
    <row r="25" spans="3:6" ht="18.75" x14ac:dyDescent="0.25">
      <c r="C25" s="6" t="s">
        <v>40</v>
      </c>
      <c r="D25" s="6" t="s">
        <v>42</v>
      </c>
      <c r="E25" s="6" t="s">
        <v>48</v>
      </c>
      <c r="F25" s="19">
        <v>44846</v>
      </c>
    </row>
    <row r="26" spans="3:6" ht="18.75" x14ac:dyDescent="0.25">
      <c r="C26" s="6" t="s">
        <v>41</v>
      </c>
      <c r="D26" s="6" t="s">
        <v>42</v>
      </c>
      <c r="E26" s="6" t="s">
        <v>51</v>
      </c>
      <c r="F26" s="19">
        <v>44331</v>
      </c>
    </row>
    <row r="27" spans="3:6" ht="18.75" x14ac:dyDescent="0.25">
      <c r="C27" s="6" t="s">
        <v>40</v>
      </c>
      <c r="D27" s="6" t="s">
        <v>43</v>
      </c>
      <c r="E27" s="6" t="s">
        <v>49</v>
      </c>
      <c r="F27" s="19">
        <v>40188</v>
      </c>
    </row>
    <row r="28" spans="3:6" ht="18.75" x14ac:dyDescent="0.25">
      <c r="C28" s="6" t="s">
        <v>41</v>
      </c>
      <c r="D28" s="6" t="s">
        <v>43</v>
      </c>
      <c r="E28" s="6" t="s">
        <v>50</v>
      </c>
      <c r="F28" s="19">
        <v>44860</v>
      </c>
    </row>
    <row r="29" spans="3:6" ht="18.75" x14ac:dyDescent="0.25">
      <c r="C29" s="6" t="s">
        <v>40</v>
      </c>
      <c r="D29" s="6" t="s">
        <v>44</v>
      </c>
      <c r="E29" s="6" t="s">
        <v>52</v>
      </c>
      <c r="F29" s="19">
        <v>44512</v>
      </c>
    </row>
    <row r="30" spans="3:6" ht="18.75" x14ac:dyDescent="0.25">
      <c r="C30" s="6" t="s">
        <v>41</v>
      </c>
      <c r="D30" s="6" t="s">
        <v>44</v>
      </c>
      <c r="E30" s="6" t="s">
        <v>54</v>
      </c>
      <c r="F30" s="19">
        <v>44592</v>
      </c>
    </row>
    <row r="31" spans="3:6" ht="18.75" x14ac:dyDescent="0.25">
      <c r="C31" s="6" t="s">
        <v>40</v>
      </c>
      <c r="D31" s="6" t="s">
        <v>42</v>
      </c>
      <c r="E31" s="6" t="s">
        <v>53</v>
      </c>
      <c r="F31" s="19">
        <v>44925</v>
      </c>
    </row>
    <row r="32" spans="3:6" ht="18.75" x14ac:dyDescent="0.25">
      <c r="C32" s="6" t="s">
        <v>41</v>
      </c>
      <c r="D32" s="6" t="s">
        <v>43</v>
      </c>
      <c r="E32" s="6" t="s">
        <v>56</v>
      </c>
      <c r="F32" s="19">
        <v>44931</v>
      </c>
    </row>
    <row r="33" spans="3:6" ht="18.75" x14ac:dyDescent="0.25">
      <c r="C33" s="6" t="s">
        <v>41</v>
      </c>
      <c r="D33" s="6" t="s">
        <v>44</v>
      </c>
      <c r="E33" s="6" t="s">
        <v>55</v>
      </c>
      <c r="F33" s="19">
        <v>43267</v>
      </c>
    </row>
    <row r="45" spans="3:6" ht="18.75" x14ac:dyDescent="0.3">
      <c r="C45" s="10" t="s">
        <v>46</v>
      </c>
      <c r="D45" s="10" t="s">
        <v>45</v>
      </c>
      <c r="E45" s="10" t="s">
        <v>47</v>
      </c>
      <c r="F45" s="10" t="s">
        <v>99</v>
      </c>
    </row>
    <row r="46" spans="3:6" ht="18.75" x14ac:dyDescent="0.25">
      <c r="C46" s="6" t="s">
        <v>40</v>
      </c>
      <c r="D46" s="6" t="s">
        <v>42</v>
      </c>
      <c r="E46" s="6" t="s">
        <v>48</v>
      </c>
      <c r="F46" s="19">
        <v>44846</v>
      </c>
    </row>
    <row r="47" spans="3:6" ht="18.75" x14ac:dyDescent="0.25">
      <c r="C47" s="6" t="s">
        <v>41</v>
      </c>
      <c r="D47" s="6" t="s">
        <v>42</v>
      </c>
      <c r="E47" s="6" t="s">
        <v>51</v>
      </c>
      <c r="F47" s="19">
        <v>44331</v>
      </c>
    </row>
    <row r="48" spans="3:6" ht="18.75" x14ac:dyDescent="0.25">
      <c r="C48" s="6" t="s">
        <v>40</v>
      </c>
      <c r="D48" s="6" t="s">
        <v>43</v>
      </c>
      <c r="E48" s="6" t="s">
        <v>49</v>
      </c>
      <c r="F48" s="19">
        <v>40188</v>
      </c>
    </row>
    <row r="49" spans="3:6" ht="18.75" x14ac:dyDescent="0.25">
      <c r="C49" s="6" t="s">
        <v>41</v>
      </c>
      <c r="D49" s="6" t="s">
        <v>43</v>
      </c>
      <c r="E49" s="6" t="s">
        <v>50</v>
      </c>
      <c r="F49" s="19">
        <v>44860</v>
      </c>
    </row>
    <row r="50" spans="3:6" ht="18.75" x14ac:dyDescent="0.25">
      <c r="C50" s="6" t="s">
        <v>40</v>
      </c>
      <c r="D50" s="6" t="s">
        <v>44</v>
      </c>
      <c r="E50" s="6" t="s">
        <v>52</v>
      </c>
      <c r="F50" s="19">
        <v>44512</v>
      </c>
    </row>
    <row r="51" spans="3:6" ht="18.75" x14ac:dyDescent="0.25">
      <c r="C51" s="6" t="s">
        <v>41</v>
      </c>
      <c r="D51" s="6" t="s">
        <v>44</v>
      </c>
      <c r="E51" s="6" t="s">
        <v>54</v>
      </c>
      <c r="F51" s="19">
        <v>44592</v>
      </c>
    </row>
    <row r="52" spans="3:6" ht="18.75" x14ac:dyDescent="0.25">
      <c r="C52" s="6" t="s">
        <v>40</v>
      </c>
      <c r="D52" s="6" t="s">
        <v>42</v>
      </c>
      <c r="E52" s="6" t="s">
        <v>53</v>
      </c>
      <c r="F52" s="19">
        <v>44925</v>
      </c>
    </row>
    <row r="53" spans="3:6" ht="18.75" x14ac:dyDescent="0.25">
      <c r="C53" s="6" t="s">
        <v>41</v>
      </c>
      <c r="D53" s="6" t="s">
        <v>43</v>
      </c>
      <c r="E53" s="6" t="s">
        <v>56</v>
      </c>
      <c r="F53" s="19">
        <v>44931</v>
      </c>
    </row>
    <row r="54" spans="3:6" ht="18.75" x14ac:dyDescent="0.25">
      <c r="C54" s="6" t="s">
        <v>41</v>
      </c>
      <c r="D54" s="6" t="s">
        <v>44</v>
      </c>
      <c r="E54" s="6" t="s">
        <v>55</v>
      </c>
      <c r="F54" s="19">
        <v>43267</v>
      </c>
    </row>
    <row r="71" spans="3:6" ht="18.75" x14ac:dyDescent="0.3">
      <c r="C71" s="10" t="s">
        <v>46</v>
      </c>
      <c r="D71" s="10" t="s">
        <v>45</v>
      </c>
      <c r="E71" s="10" t="s">
        <v>47</v>
      </c>
      <c r="F71" s="10" t="s">
        <v>99</v>
      </c>
    </row>
    <row r="72" spans="3:6" ht="18.75" x14ac:dyDescent="0.25">
      <c r="C72" s="6" t="s">
        <v>40</v>
      </c>
      <c r="D72" s="6" t="s">
        <v>42</v>
      </c>
      <c r="E72" s="6" t="s">
        <v>48</v>
      </c>
      <c r="F72" s="19">
        <v>44846</v>
      </c>
    </row>
    <row r="73" spans="3:6" ht="18.75" x14ac:dyDescent="0.25">
      <c r="C73" s="6" t="s">
        <v>41</v>
      </c>
      <c r="D73" s="6" t="s">
        <v>42</v>
      </c>
      <c r="E73" s="6" t="s">
        <v>51</v>
      </c>
      <c r="F73" s="19">
        <v>44331</v>
      </c>
    </row>
    <row r="74" spans="3:6" ht="18.75" x14ac:dyDescent="0.25">
      <c r="C74" s="6" t="s">
        <v>40</v>
      </c>
      <c r="D74" s="6" t="s">
        <v>43</v>
      </c>
      <c r="E74" s="6" t="s">
        <v>49</v>
      </c>
      <c r="F74" s="19">
        <v>40188</v>
      </c>
    </row>
    <row r="75" spans="3:6" ht="18.75" x14ac:dyDescent="0.25">
      <c r="C75" s="6" t="s">
        <v>41</v>
      </c>
      <c r="D75" s="6" t="s">
        <v>43</v>
      </c>
      <c r="E75" s="6" t="s">
        <v>50</v>
      </c>
      <c r="F75" s="19">
        <v>44860</v>
      </c>
    </row>
    <row r="76" spans="3:6" ht="18.75" x14ac:dyDescent="0.25">
      <c r="C76" s="6" t="s">
        <v>40</v>
      </c>
      <c r="D76" s="6" t="s">
        <v>44</v>
      </c>
      <c r="E76" s="6" t="s">
        <v>52</v>
      </c>
      <c r="F76" s="19">
        <v>44512</v>
      </c>
    </row>
    <row r="77" spans="3:6" ht="18.75" x14ac:dyDescent="0.25">
      <c r="C77" s="6" t="s">
        <v>41</v>
      </c>
      <c r="D77" s="6" t="s">
        <v>44</v>
      </c>
      <c r="E77" s="6" t="s">
        <v>54</v>
      </c>
      <c r="F77" s="19">
        <v>44592</v>
      </c>
    </row>
    <row r="78" spans="3:6" ht="18.75" x14ac:dyDescent="0.25">
      <c r="C78" s="6" t="s">
        <v>40</v>
      </c>
      <c r="D78" s="6" t="s">
        <v>42</v>
      </c>
      <c r="E78" s="6" t="s">
        <v>53</v>
      </c>
      <c r="F78" s="19">
        <v>44925</v>
      </c>
    </row>
    <row r="79" spans="3:6" ht="18.75" x14ac:dyDescent="0.25">
      <c r="C79" s="6" t="s">
        <v>41</v>
      </c>
      <c r="D79" s="6" t="s">
        <v>43</v>
      </c>
      <c r="E79" s="6" t="s">
        <v>56</v>
      </c>
      <c r="F79" s="19">
        <v>44931</v>
      </c>
    </row>
    <row r="80" spans="3:6" ht="18.75" x14ac:dyDescent="0.25">
      <c r="C80" s="6" t="s">
        <v>41</v>
      </c>
      <c r="D80" s="6" t="s">
        <v>44</v>
      </c>
      <c r="E80" s="6" t="s">
        <v>55</v>
      </c>
      <c r="F80" s="19">
        <v>43267</v>
      </c>
    </row>
  </sheetData>
  <customSheetViews>
    <customSheetView guid="{4725FB26-BADE-478E-8CB6-C0172942A9EE}" scale="130" showGridLines="0" state="hidden" topLeftCell="B1">
      <selection activeCell="D6" sqref="D6"/>
      <pageMargins left="0.7" right="0.7" top="0.75" bottom="0.75" header="0.3" footer="0.3"/>
    </customSheetView>
    <customSheetView guid="{5B82F60B-B869-45D3-9A7D-2B843E789197}" scale="130" showGridLines="0" state="hidden" topLeftCell="B1">
      <selection activeCell="D6" sqref="D6"/>
      <pageMargins left="0.7" right="0.7" top="0.75" bottom="0.75" header="0.3" footer="0.3"/>
    </customSheetView>
    <customSheetView guid="{73745901-4C3A-49DD-83C4-0AEBB167DB63}" scale="130" showGridLines="0" state="hidden" topLeftCell="B1">
      <selection activeCell="D6" sqref="D6"/>
      <pageMargins left="0.7" right="0.7" top="0.75" bottom="0.75" header="0.3" footer="0.3"/>
    </customSheetView>
    <customSheetView guid="{AE37E6D9-7485-4A75-9115-FDBD1A6E08D0}" scale="130" showGridLines="0" state="hidden" topLeftCell="B1">
      <selection activeCell="D6" sqref="D6"/>
      <pageMargins left="0.7" right="0.7" top="0.75" bottom="0.75" header="0.3" footer="0.3"/>
    </customSheetView>
    <customSheetView guid="{28C5C254-2672-4A7F-9398-2FA6F99EE3FF}" scale="130" showGridLines="0" state="hidden" topLeftCell="B1">
      <selection activeCell="D6" sqref="D6"/>
      <pageMargins left="0.7" right="0.7" top="0.75" bottom="0.75" header="0.3" footer="0.3"/>
    </customSheetView>
    <customSheetView guid="{9967D63C-4135-4BF7-A83B-0EC0A28A8504}" scale="130" showGridLines="0" state="hidden" topLeftCell="B1">
      <selection activeCell="D6" sqref="D6"/>
      <pageMargins left="0.7" right="0.7" top="0.75" bottom="0.75" header="0.3" footer="0.3"/>
    </customSheetView>
    <customSheetView guid="{8DC39A41-9961-4A5C-8659-B8A82A01A470}" scale="130" showGridLines="0" state="hidden" topLeftCell="B1">
      <selection activeCell="D6" sqref="D6"/>
      <pageMargins left="0.7" right="0.7" top="0.75" bottom="0.75" header="0.3" footer="0.3"/>
    </customSheetView>
    <customSheetView guid="{06F040C9-291C-44DD-A11A-B2BAF2078CA1}" scale="130" showGridLines="0" state="hidden" topLeftCell="B1">
      <selection activeCell="D6" sqref="D6"/>
      <pageMargins left="0.7" right="0.7" top="0.75" bottom="0.75" header="0.3" footer="0.3"/>
    </customSheetView>
    <customSheetView guid="{AC1AC0BB-7D81-4427-80BF-DB36D3CC12C1}" scale="130" showGridLines="0" state="hidden" topLeftCell="B1">
      <selection activeCell="D6" sqref="D6"/>
      <pageMargins left="0.7" right="0.7" top="0.75" bottom="0.75" header="0.3" footer="0.3"/>
    </customSheetView>
    <customSheetView guid="{31F90F3E-FB31-437F-ADCE-44D58804C41D}" scale="130" showGridLines="0" state="hidden" topLeftCell="B1">
      <selection activeCell="D6" sqref="D6"/>
      <pageMargins left="0.7" right="0.7" top="0.75" bottom="0.75" header="0.3" footer="0.3"/>
    </customSheetView>
    <customSheetView guid="{57F7A421-8FD3-4470-813D-526D207C0AED}" scale="130" showGridLines="0" state="hidden" topLeftCell="B1">
      <selection activeCell="D6" sqref="D6"/>
      <pageMargins left="0.7" right="0.7" top="0.75" bottom="0.75" header="0.3" footer="0.3"/>
    </customSheetView>
    <customSheetView guid="{E065FC95-9F37-4AD0-A6AF-202A080459EB}" scale="130" showGridLines="0" state="hidden" topLeftCell="B1">
      <selection activeCell="D6" sqref="D6"/>
      <pageMargins left="0.7" right="0.7" top="0.75" bottom="0.75" header="0.3" footer="0.3"/>
    </customSheetView>
    <customSheetView guid="{A979108F-FF23-4967-8663-1A0C9618D854}" scale="130" showGridLines="0" state="hidden" topLeftCell="B1">
      <selection activeCell="D6" sqref="D6"/>
      <pageMargins left="0.7" right="0.7" top="0.75" bottom="0.75" header="0.3" footer="0.3"/>
    </customSheetView>
    <customSheetView guid="{AD9596A8-734D-48AD-8922-A58933E39AB8}" scale="130" showGridLines="0" state="hidden" topLeftCell="B1">
      <selection activeCell="D6" sqref="D6"/>
      <pageMargins left="0.7" right="0.7" top="0.75" bottom="0.75" header="0.3" footer="0.3"/>
    </customSheetView>
    <customSheetView guid="{DFB07116-697D-42FF-ACBD-E8FE92938B16}" scale="130" showGridLines="0" state="hidden" topLeftCell="B1">
      <selection activeCell="D6" sqref="D6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</vt:lpstr>
      <vt:lpstr>Average</vt:lpstr>
      <vt:lpstr>Count</vt:lpstr>
      <vt:lpstr>CountA</vt:lpstr>
      <vt:lpstr>Max</vt:lpstr>
      <vt:lpstr>Min</vt:lpstr>
      <vt:lpstr>IF</vt:lpstr>
      <vt:lpstr>CONCAT &amp; TEXTJOIN</vt:lpstr>
      <vt:lpstr>UPPER, LOWER &amp; PROPER</vt:lpstr>
      <vt:lpstr>LEFT, RIGHT &amp; MID</vt:lpstr>
      <vt:lpstr>Substitute and Replace</vt:lpstr>
      <vt:lpstr>Date Formulas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TAMIZH</dc:creator>
  <cp:lastModifiedBy>abc</cp:lastModifiedBy>
  <dcterms:created xsi:type="dcterms:W3CDTF">2022-03-05T05:03:48Z</dcterms:created>
  <dcterms:modified xsi:type="dcterms:W3CDTF">2023-06-12T11:55:05Z</dcterms:modified>
</cp:coreProperties>
</file>